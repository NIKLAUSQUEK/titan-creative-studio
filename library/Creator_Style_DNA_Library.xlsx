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or DNA" sheetId="1" state="visible" r:id="rId3"/>
    <sheet name="Budget Plan" sheetId="2" state="visible" r:id="rId4"/>
    <sheet name="Mix Check" sheetId="3" state="visible" r:id="rId5"/>
    <sheet name="Legend" sheetId="4" state="visible" r:id="rId6"/>
  </sheets>
  <definedNames>
    <definedName function="false" hidden="true" localSheetId="0" name="_xlnm._FilterDatabase" vbProcedure="false">'Creator DNA'!$A$1:$U$67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<sst xmlns="http://schemas.openxmlformats.org/spreadsheetml/2006/main" count="1157" uniqueCount="823">
  <si>
    <t xml:space="preserve">#</t>
  </si>
  <si>
    <t xml:space="preserve">Category</t>
  </si>
  <si>
    <t xml:space="preserve">Creator</t>
  </si>
  <si>
    <t xml:space="preserve">Country</t>
  </si>
  <si>
    <t xml:space="preserve">Platforms</t>
  </si>
  <si>
    <t xml:space="preserve">Format</t>
  </si>
  <si>
    <t xml:space="preserve">Vibe</t>
  </si>
  <si>
    <t xml:space="preserve">Tone</t>
  </si>
  <si>
    <t xml:space="preserve">Energy (1-5)</t>
  </si>
  <si>
    <t xml:space="preserve">Pacing &amp; edit</t>
  </si>
  <si>
    <t xml:space="preserve">Camera &amp; framing</t>
  </si>
  <si>
    <t xml:space="preserve">Lighting &amp; grade</t>
  </si>
  <si>
    <t xml:space="preserve">Voice &amp; delivery</t>
  </si>
  <si>
    <t xml:space="preserve">Target age</t>
  </si>
  <si>
    <t xml:space="preserve">Target audience</t>
  </si>
  <si>
    <t xml:space="preserve">Hook pattern</t>
  </si>
  <si>
    <t xml:space="preserve">Signature move</t>
  </si>
  <si>
    <t xml:space="preserve">Best fit for Klaus</t>
  </si>
  <si>
    <t xml:space="preserve">Confidence</t>
  </si>
  <si>
    <t xml:space="preserve">Verify notes</t>
  </si>
  <si>
    <t xml:space="preserve">Batch</t>
  </si>
  <si>
    <t xml:space="preserve">Skits / comedy / 2-3 person</t>
  </si>
  <si>
    <t xml:space="preserve">Adam Waheed</t>
  </si>
  <si>
    <t xml:space="preserve">USA</t>
  </si>
  <si>
    <t xml:space="preserve">TikTok, IG, YouTube</t>
  </si>
  <si>
    <t xml:space="preserve">Ensemble skit</t>
  </si>
  <si>
    <t xml:space="preserve">Big-budget sitcom on a phone</t>
  </si>
  <si>
    <t xml:space="preserve">Playful, family-friendly slapstick</t>
  </si>
  <si>
    <t xml:space="preserve">Fast 1-2s cuts, reaction inserts, SFX hits</t>
  </si>
  <si>
    <t xml:space="preserve">Stable multi-angle coverage, wide to close</t>
  </si>
  <si>
    <t xml:space="preserve">Bright, evenly lit, saturated</t>
  </si>
  <si>
    <t xml:space="preserve">Loud, exaggerated characters</t>
  </si>
  <si>
    <t xml:space="preserve">13-34</t>
  </si>
  <si>
    <t xml:space="preserve">Broad US/global mainstream</t>
  </si>
  <si>
    <t xml:space="preserve">Absurd situation in frame 1</t>
  </si>
  <si>
    <t xml:space="preserve">Physical gag + cast reaction shot</t>
  </si>
  <si>
    <t xml:space="preserve">Physio Spot ensemble skits</t>
  </si>
  <si>
    <t xml:space="preserve">Medium</t>
  </si>
  <si>
    <t xml:space="preserve">Confirm current posting cadence</t>
  </si>
  <si>
    <t xml:space="preserve">Wk4 skits+ads anchors</t>
  </si>
  <si>
    <t xml:space="preserve">Druski</t>
  </si>
  <si>
    <t xml:space="preserve">IG, TikTok, YouTube</t>
  </si>
  <si>
    <t xml:space="preserve">2-3 person / character</t>
  </si>
  <si>
    <t xml:space="preserve">Improvised cringe mockumentary</t>
  </si>
  <si>
    <t xml:space="preserve">Awkward, roasting</t>
  </si>
  <si>
    <t xml:space="preserve">Lets awkward pauses breathe; longer takes</t>
  </si>
  <si>
    <t xml:space="preserve">Handheld doc-style</t>
  </si>
  <si>
    <t xml:space="preserve">Natural / practical</t>
  </si>
  <si>
    <t xml:space="preserve">Deadpan + improvised characters</t>
  </si>
  <si>
    <t xml:space="preserve">16-34</t>
  </si>
  <si>
    <t xml:space="preserve">US urban, hip-hop culture fans</t>
  </si>
  <si>
    <t xml:space="preserve">Character intro mid-scene</t>
  </si>
  <si>
    <t xml:space="preserve">Escalating awkwardness, celebrity cameos</t>
  </si>
  <si>
    <t xml:space="preserve">Physio Spot 2-person cringe skits</t>
  </si>
  <si>
    <t xml:space="preserve">Chef Pierce</t>
  </si>
  <si>
    <t xml:space="preserve">TikTok</t>
  </si>
  <si>
    <t xml:space="preserve">POV duo skits</t>
  </si>
  <si>
    <t xml:space="preserve">Fast situational POV</t>
  </si>
  <si>
    <t xml:space="preserve">Playful</t>
  </si>
  <si>
    <t xml:space="preserve">Quick cuts, trending audio</t>
  </si>
  <si>
    <t xml:space="preserve">Phone POV</t>
  </si>
  <si>
    <t xml:space="preserve">Natural</t>
  </si>
  <si>
    <t xml:space="preserve">Casual</t>
  </si>
  <si>
    <t xml:space="preserve">13-24</t>
  </si>
  <si>
    <t xml:space="preserve">US Gen Z</t>
  </si>
  <si>
    <t xml:space="preserve">POV text overlay</t>
  </si>
  <si>
    <t xml:space="preserve">DNA placeholder</t>
  </si>
  <si>
    <t xml:space="preserve">TBD after watch</t>
  </si>
  <si>
    <t xml:space="preserve">Low</t>
  </si>
  <si>
    <t xml:space="preserve">DNA guessed - derive from vidIQ watch</t>
  </si>
  <si>
    <t xml:space="preserve">Month 2+</t>
  </si>
  <si>
    <t xml:space="preserve">Darryl Mayes</t>
  </si>
  <si>
    <t xml:space="preserve">POV skits</t>
  </si>
  <si>
    <t xml:space="preserve">Situational POV</t>
  </si>
  <si>
    <t xml:space="preserve">Quick cuts</t>
  </si>
  <si>
    <t xml:space="preserve">Country + DNA to verify</t>
  </si>
  <si>
    <t xml:space="preserve">Jaden Williams</t>
  </si>
  <si>
    <t xml:space="preserve">TikTok, YouTube Shorts</t>
  </si>
  <si>
    <t xml:space="preserve">Solo characters</t>
  </si>
  <si>
    <t xml:space="preserve">Kid-relatable character POVs</t>
  </si>
  <si>
    <t xml:space="preserve">Wholesome, silly</t>
  </si>
  <si>
    <t xml:space="preserve">Fast cuts, voice swaps</t>
  </si>
  <si>
    <t xml:space="preserve">Phone, front-facing</t>
  </si>
  <si>
    <t xml:space="preserve">Bright indoor</t>
  </si>
  <si>
    <t xml:space="preserve">Character voices</t>
  </si>
  <si>
    <t xml:space="preserve">10-20</t>
  </si>
  <si>
    <t xml:space="preserve">Gen Alpha / young Gen Z</t>
  </si>
  <si>
    <t xml:space="preserve">'POV:' setup</t>
  </si>
  <si>
    <t xml:space="preserve">Plays multiple kid archetypes</t>
  </si>
  <si>
    <t xml:space="preserve">Low fit (very young audience)</t>
  </si>
  <si>
    <t xml:space="preserve">Country + audience to verify</t>
  </si>
  <si>
    <t xml:space="preserve">DTay Known</t>
  </si>
  <si>
    <t xml:space="preserve">TikTok, IG</t>
  </si>
  <si>
    <t xml:space="preserve">Character skits</t>
  </si>
  <si>
    <t xml:space="preserve">Hood-relatable characters</t>
  </si>
  <si>
    <t xml:space="preserve">Roasting, loud</t>
  </si>
  <si>
    <t xml:space="preserve">Fast cuts</t>
  </si>
  <si>
    <t xml:space="preserve">Phone</t>
  </si>
  <si>
    <t xml:space="preserve">Loud characters</t>
  </si>
  <si>
    <t xml:space="preserve">16-30</t>
  </si>
  <si>
    <t xml:space="preserve">US urban Gen Z</t>
  </si>
  <si>
    <t xml:space="preserve">Instant character entrance</t>
  </si>
  <si>
    <t xml:space="preserve">DNA guessed - derive from watch</t>
  </si>
  <si>
    <t xml:space="preserve">FunnyMike</t>
  </si>
  <si>
    <t xml:space="preserve">TikTok, YouTube</t>
  </si>
  <si>
    <t xml:space="preserve">High-energy skits / pranks</t>
  </si>
  <si>
    <t xml:space="preserve">Chaotic hype</t>
  </si>
  <si>
    <t xml:space="preserve">Loud, chaotic</t>
  </si>
  <si>
    <t xml:space="preserve">Very fast, prank reveals</t>
  </si>
  <si>
    <t xml:space="preserve">Handheld</t>
  </si>
  <si>
    <t xml:space="preserve">Mixed natural</t>
  </si>
  <si>
    <t xml:space="preserve">Shouting, hype</t>
  </si>
  <si>
    <t xml:space="preserve">Chaos in frame 1</t>
  </si>
  <si>
    <t xml:space="preserve">Brittany Broski</t>
  </si>
  <si>
    <t xml:space="preserve">Reaction-face comedy</t>
  </si>
  <si>
    <t xml:space="preserve">Chaotic-relatable internet bestie</t>
  </si>
  <si>
    <t xml:space="preserve">Absurd, self-deprecating</t>
  </si>
  <si>
    <t xml:space="preserve">Talk + reaction, snap punch-ins</t>
  </si>
  <si>
    <t xml:space="preserve">Front-facing selfie, tight</t>
  </si>
  <si>
    <t xml:space="preserve">Ring light / soft indoor</t>
  </si>
  <si>
    <t xml:space="preserve">Elastic face, theatrical voices</t>
  </si>
  <si>
    <t xml:space="preserve">18-34</t>
  </si>
  <si>
    <t xml:space="preserve">US Gen Z + millennial women, pop culture</t>
  </si>
  <si>
    <t xml:space="preserve">A face reaction</t>
  </si>
  <si>
    <t xml:space="preserve">The face IS the punchline</t>
  </si>
  <si>
    <t xml:space="preserve">Reaction inserts in any skit</t>
  </si>
  <si>
    <t xml:space="preserve">High</t>
  </si>
  <si>
    <t xml:space="preserve">Liza Koshy</t>
  </si>
  <si>
    <t xml:space="preserve">TikTok, YouTube, IG</t>
  </si>
  <si>
    <t xml:space="preserve">Multi-character</t>
  </si>
  <si>
    <t xml:space="preserve">Hyper, colourful wordplay</t>
  </si>
  <si>
    <t xml:space="preserve">Wholesome, punny</t>
  </si>
  <si>
    <t xml:space="preserve">Very fast jump cuts, plays all roles</t>
  </si>
  <si>
    <t xml:space="preserve">Front-facing, tight</t>
  </si>
  <si>
    <t xml:space="preserve">High-key, saturated colour</t>
  </si>
  <si>
    <t xml:space="preserve">Rapid puns, voices</t>
  </si>
  <si>
    <t xml:space="preserve">13-29</t>
  </si>
  <si>
    <t xml:space="preserve">Global teens / young adults</t>
  </si>
  <si>
    <t xml:space="preserve">Pun or character opener</t>
  </si>
  <si>
    <t xml:space="preserve">Rapid-fire puns + playing every role</t>
  </si>
  <si>
    <t xml:space="preserve">GenZ-energy Power Protein promos</t>
  </si>
  <si>
    <t xml:space="preserve">Mr Funny (Sabinus)</t>
  </si>
  <si>
    <t xml:space="preserve">Nigeria</t>
  </si>
  <si>
    <t xml:space="preserve">Short skit</t>
  </si>
  <si>
    <t xml:space="preserve">Hapless everyman in Lagos life</t>
  </si>
  <si>
    <t xml:space="preserve">Slapstick, pity humour</t>
  </si>
  <si>
    <t xml:space="preserve">Short scenes, payoff at the end</t>
  </si>
  <si>
    <t xml:space="preserve">Simple handheld, street settings</t>
  </si>
  <si>
    <t xml:space="preserve">Natural daylight, ungraded</t>
  </si>
  <si>
    <t xml:space="preserve">Nigerian Pidgin, expressive</t>
  </si>
  <si>
    <t xml:space="preserve">16-40</t>
  </si>
  <si>
    <t xml:space="preserve">Nigeria + African diaspora</t>
  </si>
  <si>
    <t xml:space="preserve">Everyday situation setup</t>
  </si>
  <si>
    <t xml:space="preserve">The guy who always loses</t>
  </si>
  <si>
    <t xml:space="preserve">Template for 'unlucky patient' skits</t>
  </si>
  <si>
    <t xml:space="preserve">Munya Chawawa</t>
  </si>
  <si>
    <t xml:space="preserve">UK</t>
  </si>
  <si>
    <t xml:space="preserve">Character satire</t>
  </si>
  <si>
    <t xml:space="preserve">Sharp topical satire</t>
  </si>
  <si>
    <t xml:space="preserve">Witty, ironic, political</t>
  </si>
  <si>
    <t xml:space="preserve">TV-sketch tight edit</t>
  </si>
  <si>
    <t xml:space="preserve">Polished; mock-news / music-video framing</t>
  </si>
  <si>
    <t xml:space="preserve">TV quality, styled</t>
  </si>
  <si>
    <t xml:space="preserve">Accents, characters, wordplay</t>
  </si>
  <si>
    <t xml:space="preserve">18-40</t>
  </si>
  <si>
    <t xml:space="preserve">UK urban, politically aware millennials</t>
  </si>
  <si>
    <t xml:space="preserve">Topical news hook</t>
  </si>
  <si>
    <t xml:space="preserve">Character parody of current events</t>
  </si>
  <si>
    <t xml:space="preserve">SG politics channel + Physio Spot satire</t>
  </si>
  <si>
    <t xml:space="preserve">Wk1 pilot</t>
  </si>
  <si>
    <t xml:space="preserve">Puspa Wafiy</t>
  </si>
  <si>
    <t xml:space="preserve">Malaysia</t>
  </si>
  <si>
    <t xml:space="preserve">Couple sketch</t>
  </si>
  <si>
    <t xml:space="preserve">Wholesome Malay couple banter</t>
  </si>
  <si>
    <t xml:space="preserve">Light, relatable</t>
  </si>
  <si>
    <t xml:space="preserve">Short, music/dance mixed in</t>
  </si>
  <si>
    <t xml:space="preserve">Phone, home settings</t>
  </si>
  <si>
    <t xml:space="preserve">Natural home light</t>
  </si>
  <si>
    <t xml:space="preserve">Casual Malay</t>
  </si>
  <si>
    <t xml:space="preserve">Malaysia, Malay-speaking</t>
  </si>
  <si>
    <t xml:space="preserve">Couple situation</t>
  </si>
  <si>
    <t xml:space="preserve">Husband-and-wife dynamic</t>
  </si>
  <si>
    <t xml:space="preserve">Couple-format pelvic health skits</t>
  </si>
  <si>
    <t xml:space="preserve">Ads / UGC / product</t>
  </si>
  <si>
    <t xml:space="preserve">@ugcbymackenzie</t>
  </si>
  <si>
    <t xml:space="preserve">5 ad formats from 1 product</t>
  </si>
  <si>
    <t xml:space="preserve">Clean aesthetic UGC</t>
  </si>
  <si>
    <t xml:space="preserve">Friendly, persuasive</t>
  </si>
  <si>
    <t xml:space="preserve">1-2s cuts, B-roll + talking</t>
  </si>
  <si>
    <t xml:space="preserve">Phone, product close-ups, hands</t>
  </si>
  <si>
    <t xml:space="preserve">Soft window light, bright</t>
  </si>
  <si>
    <t xml:space="preserve">Casual creator VO</t>
  </si>
  <si>
    <t xml:space="preserve">18-44 (brand-dependent)</t>
  </si>
  <si>
    <t xml:space="preserve">US shoppers, women-skewed</t>
  </si>
  <si>
    <t xml:space="preserve">Problem statement</t>
  </si>
  <si>
    <t xml:space="preserve">One product -&gt; 5 angles</t>
  </si>
  <si>
    <t xml:space="preserve">Power Protein + PeachForm ad variants</t>
  </si>
  <si>
    <t xml:space="preserve">Country to verify</t>
  </si>
  <si>
    <t xml:space="preserve">@sarahbanks.ugc</t>
  </si>
  <si>
    <t xml:space="preserve">At-home UGC</t>
  </si>
  <si>
    <t xml:space="preserve">Simple, approachable</t>
  </si>
  <si>
    <t xml:space="preserve">Helpful</t>
  </si>
  <si>
    <t xml:space="preserve">Simple cuts</t>
  </si>
  <si>
    <t xml:space="preserve">Phone, home</t>
  </si>
  <si>
    <t xml:space="preserve">US shoppers</t>
  </si>
  <si>
    <t xml:space="preserve">Show-the-product opener</t>
  </si>
  <si>
    <t xml:space="preserve">Low-budget at-home recipe</t>
  </si>
  <si>
    <t xml:space="preserve">Cheap UGC template</t>
  </si>
  <si>
    <t xml:space="preserve">Stepful</t>
  </si>
  <si>
    <t xml:space="preserve">TikTok (Spark Ads)</t>
  </si>
  <si>
    <t xml:space="preserve">Clinical testimonial</t>
  </si>
  <si>
    <t xml:space="preserve">Aspirational career testimonial</t>
  </si>
  <si>
    <t xml:space="preserve">Earnest, credible</t>
  </si>
  <si>
    <t xml:space="preserve">Medium pace, fact text overlays</t>
  </si>
  <si>
    <t xml:space="preserve">Real clinical setting, mid shots</t>
  </si>
  <si>
    <t xml:space="preserve">Clinic / natural</t>
  </si>
  <si>
    <t xml:space="preserve">Real student voice</t>
  </si>
  <si>
    <t xml:space="preserve">18-35</t>
  </si>
  <si>
    <t xml:space="preserve">US career changers, women-skewed</t>
  </si>
  <si>
    <t xml:space="preserve">Concrete claim on screen</t>
  </si>
  <si>
    <t xml:space="preserve">Scrubs + proof stats</t>
  </si>
  <si>
    <t xml:space="preserve">Physio Spot patient/clinic testimonials</t>
  </si>
  <si>
    <t xml:space="preserve">Caseharden</t>
  </si>
  <si>
    <t xml:space="preserve">Founder-led</t>
  </si>
  <si>
    <t xml:space="preserve">Maker credibility</t>
  </si>
  <si>
    <t xml:space="preserve">Direct, no-nonsense</t>
  </si>
  <si>
    <t xml:space="preserve">Simple, captioned</t>
  </si>
  <si>
    <t xml:space="preserve">Founder to camera</t>
  </si>
  <si>
    <t xml:space="preserve">Workshop natural</t>
  </si>
  <si>
    <t xml:space="preserve">Founder's own voice</t>
  </si>
  <si>
    <t xml:space="preserve">25-54</t>
  </si>
  <si>
    <t xml:space="preserve">US men, gear/EDC buyers</t>
  </si>
  <si>
    <t xml:space="preserve">Founder states the problem</t>
  </si>
  <si>
    <t xml:space="preserve">Founder as the face</t>
  </si>
  <si>
    <t xml:space="preserve">Physio Niklaus founder ads</t>
  </si>
  <si>
    <t xml:space="preserve">7 Brew</t>
  </si>
  <si>
    <t xml:space="preserve">In-car selfie UGC</t>
  </si>
  <si>
    <t xml:space="preserve">Bubbly drive-thru moment</t>
  </si>
  <si>
    <t xml:space="preserve">Fun, casual</t>
  </si>
  <si>
    <t xml:space="preserve">One take + caption</t>
  </si>
  <si>
    <t xml:space="preserve">Phone selfie in car</t>
  </si>
  <si>
    <t xml:space="preserve">Car daylight</t>
  </si>
  <si>
    <t xml:space="preserve">Chatty</t>
  </si>
  <si>
    <t xml:space="preserve">16-28</t>
  </si>
  <si>
    <t xml:space="preserve">US Gen Z women, Midwest/South</t>
  </si>
  <si>
    <t xml:space="preserve">Relatable caption</t>
  </si>
  <si>
    <t xml:space="preserve">Product in hand in the car</t>
  </si>
  <si>
    <t xml:space="preserve">Power Protein drink ads</t>
  </si>
  <si>
    <t xml:space="preserve">Chipotle #GuacDance</t>
  </si>
  <si>
    <t xml:space="preserve">Challenge</t>
  </si>
  <si>
    <t xml:space="preserve">Participatory dance trend</t>
  </si>
  <si>
    <t xml:space="preserve">Music-synced</t>
  </si>
  <si>
    <t xml:space="preserve">Creator-shot, varied</t>
  </si>
  <si>
    <t xml:space="preserve">Varied</t>
  </si>
  <si>
    <t xml:space="preserve">Music-led</t>
  </si>
  <si>
    <t xml:space="preserve">The dance itself</t>
  </si>
  <si>
    <t xml:space="preserve">Free-product incentive to join</t>
  </si>
  <si>
    <t xml:space="preserve">Power Protein launch challenge</t>
  </si>
  <si>
    <t xml:space="preserve">Duolingo</t>
  </si>
  <si>
    <t xml:space="preserve">Brand-as-creator</t>
  </si>
  <si>
    <t xml:space="preserve">Unhinged mascot</t>
  </si>
  <si>
    <t xml:space="preserve">Chaotic, self-aware, meme-literate</t>
  </si>
  <si>
    <t xml:space="preserve">Trend-native, reacts within hours</t>
  </si>
  <si>
    <t xml:space="preserve">Phone, mascot costume in office</t>
  </si>
  <si>
    <t xml:space="preserve">Flat office light</t>
  </si>
  <si>
    <t xml:space="preserve">Mascot antics, trend audio</t>
  </si>
  <si>
    <t xml:space="preserve">Global Gen Z</t>
  </si>
  <si>
    <t xml:space="preserve">Absurd mascot behaviour</t>
  </si>
  <si>
    <t xml:space="preserve">Brand acting like a creator</t>
  </si>
  <si>
    <t xml:space="preserve">Physio Spot/TITAN brand voice ideas</t>
  </si>
  <si>
    <t xml:space="preserve">Liquid Death</t>
  </si>
  <si>
    <t xml:space="preserve">Absurdist brand comedy</t>
  </si>
  <si>
    <t xml:space="preserve">Metal/punk parody</t>
  </si>
  <si>
    <t xml:space="preserve">Dark humour, mock-serious</t>
  </si>
  <si>
    <t xml:space="preserve">Commercial-parody production</t>
  </si>
  <si>
    <t xml:space="preserve">Cinematic</t>
  </si>
  <si>
    <t xml:space="preserve">High-production, dramatic</t>
  </si>
  <si>
    <t xml:space="preserve">Deadpan narrator</t>
  </si>
  <si>
    <t xml:space="preserve">21-40</t>
  </si>
  <si>
    <t xml:space="preserve">US men, alt/millennial</t>
  </si>
  <si>
    <t xml:space="preserve">Overblown premise</t>
  </si>
  <si>
    <t xml:space="preserve">Treats water like heavy metal</t>
  </si>
  <si>
    <t xml:space="preserve">Edgy Physio Spot campaigns</t>
  </si>
  <si>
    <t xml:space="preserve">Scrub Daddy</t>
  </si>
  <si>
    <t xml:space="preserve">Product-as-character</t>
  </si>
  <si>
    <t xml:space="preserve">Goofy live demos</t>
  </si>
  <si>
    <t xml:space="preserve">Wholesome, goofy</t>
  </si>
  <si>
    <t xml:space="preserve">Fast demos, comment replies</t>
  </si>
  <si>
    <t xml:space="preserve">Phone, product close-ups</t>
  </si>
  <si>
    <t xml:space="preserve">Bright</t>
  </si>
  <si>
    <t xml:space="preserve">18-45</t>
  </si>
  <si>
    <t xml:space="preserve">Broad households</t>
  </si>
  <si>
    <t xml:space="preserve">Satisfying demo</t>
  </si>
  <si>
    <t xml:space="preserve">Product personality + replies to comments</t>
  </si>
  <si>
    <t xml:space="preserve">PeachForm/Power Protein demo ads</t>
  </si>
  <si>
    <t xml:space="preserve">Wk5 depth</t>
  </si>
  <si>
    <t xml:space="preserve">Thanonchai Sornsriwichai</t>
  </si>
  <si>
    <t xml:space="preserve">Thailand</t>
  </si>
  <si>
    <t xml:space="preserve">YouTube (brand films)</t>
  </si>
  <si>
    <t xml:space="preserve">Emotional 'sadvert'</t>
  </si>
  <si>
    <t xml:space="preserve">Short-film tearjerker</t>
  </si>
  <si>
    <t xml:space="preserve">Sentimental</t>
  </si>
  <si>
    <t xml:space="preserve">Slow, 2-4 min, twist ending</t>
  </si>
  <si>
    <t xml:space="preserve">Cinematic, composed</t>
  </si>
  <si>
    <t xml:space="preserve">Warm filmic grade</t>
  </si>
  <si>
    <t xml:space="preserve">Minimal dialogue, music-led</t>
  </si>
  <si>
    <t xml:space="preserve">All ages</t>
  </si>
  <si>
    <t xml:space="preserve">Broad Asia</t>
  </si>
  <si>
    <t xml:space="preserve">Ordinary person's struggle</t>
  </si>
  <si>
    <t xml:space="preserve">Emotional twist, brand only at the end</t>
  </si>
  <si>
    <t xml:space="preserve">Physio Spot patient-journey films</t>
  </si>
  <si>
    <t xml:space="preserve">Frank Body</t>
  </si>
  <si>
    <t xml:space="preserve">Australia</t>
  </si>
  <si>
    <t xml:space="preserve">IG, TikTok</t>
  </si>
  <si>
    <t xml:space="preserve">Before/after UGC</t>
  </si>
  <si>
    <t xml:space="preserve">Cheeky 'babe' brand voice</t>
  </si>
  <si>
    <t xml:space="preserve">Flirty, playful</t>
  </si>
  <si>
    <t xml:space="preserve">Quick before/after cuts</t>
  </si>
  <si>
    <t xml:space="preserve">Phone UGC</t>
  </si>
  <si>
    <t xml:space="preserve">Bright pastel/pink</t>
  </si>
  <si>
    <t xml:space="preserve">Brand speaks like a friend</t>
  </si>
  <si>
    <t xml:space="preserve">Women, global</t>
  </si>
  <si>
    <t xml:space="preserve">Result shot first</t>
  </si>
  <si>
    <t xml:space="preserve">Cheeky copy + visible results</t>
  </si>
  <si>
    <t xml:space="preserve">PeachForm results ads</t>
  </si>
  <si>
    <t xml:space="preserve">Night Owl Cinematics</t>
  </si>
  <si>
    <t xml:space="preserve">Singapore</t>
  </si>
  <si>
    <t xml:space="preserve">YouTube, IG, TikTok</t>
  </si>
  <si>
    <t xml:space="preserve">Branded ensemble skit</t>
  </si>
  <si>
    <t xml:space="preserve">Local sitcom with a sponsor</t>
  </si>
  <si>
    <t xml:space="preserve">Comedic, Singlish</t>
  </si>
  <si>
    <t xml:space="preserve">Sitcom pacing</t>
  </si>
  <si>
    <t xml:space="preserve">Multi-cam cinematic</t>
  </si>
  <si>
    <t xml:space="preserve">Bright commercial</t>
  </si>
  <si>
    <t xml:space="preserve">Singlish characters</t>
  </si>
  <si>
    <t xml:space="preserve">Singaporeans</t>
  </si>
  <si>
    <t xml:space="preserve">Relatable local situation</t>
  </si>
  <si>
    <t xml:space="preserve">Brand woven into a sketch</t>
  </si>
  <si>
    <t xml:space="preserve">Localised SG Physio Spot skits</t>
  </si>
  <si>
    <t xml:space="preserve">Yapping / storytelling / talking-head</t>
  </si>
  <si>
    <t xml:space="preserve">Jun Yuh</t>
  </si>
  <si>
    <t xml:space="preserve">Talking-head yap</t>
  </si>
  <si>
    <t xml:space="preserve">Calm, intimate, introspective</t>
  </si>
  <si>
    <t xml:space="preserve">Warm, encouraging</t>
  </si>
  <si>
    <t xml:space="preserve">Few cuts; one continuous thought; soft music bed</t>
  </si>
  <si>
    <t xml:space="preserve">Forward-facing, eye-level medium close-up, tripod</t>
  </si>
  <si>
    <t xml:space="preserve">Soft natural key, warm</t>
  </si>
  <si>
    <t xml:space="preserve">Mellow, rhythmic, deliberate emphasis</t>
  </si>
  <si>
    <t xml:space="preserve">Aspiring creators, self-improvement</t>
  </si>
  <si>
    <t xml:space="preserve">Relatable pain line</t>
  </si>
  <si>
    <t xml:space="preserve">Storytelling frameworks + silent-film reels</t>
  </si>
  <si>
    <t xml:space="preserve">Physio Niklaus calm education yaps</t>
  </si>
  <si>
    <t xml:space="preserve">Chandler Lee</t>
  </si>
  <si>
    <t xml:space="preserve">Authority yap</t>
  </si>
  <si>
    <t xml:space="preserve">Polished coach</t>
  </si>
  <si>
    <t xml:space="preserve">Confident, instructive</t>
  </si>
  <si>
    <t xml:space="preserve">Moderate cuts, captions</t>
  </si>
  <si>
    <t xml:space="preserve">Front-facing medium close-up</t>
  </si>
  <si>
    <t xml:space="preserve">Bright clean</t>
  </si>
  <si>
    <t xml:space="preserve">Clear, confident</t>
  </si>
  <si>
    <t xml:space="preserve">22-40</t>
  </si>
  <si>
    <t xml:space="preserve">Women entrepreneurs/creators</t>
  </si>
  <si>
    <t xml:space="preserve">Bold claim</t>
  </si>
  <si>
    <t xml:space="preserve">Authority positioning</t>
  </si>
  <si>
    <t xml:space="preserve">Physio Spot expert positioning</t>
  </si>
  <si>
    <t xml:space="preserve">Wk2 yapping</t>
  </si>
  <si>
    <t xml:space="preserve">Jessi Jean</t>
  </si>
  <si>
    <t xml:space="preserve">Natural yap</t>
  </si>
  <si>
    <t xml:space="preserve">Unfiltered best-friend chat</t>
  </si>
  <si>
    <t xml:space="preserve">Candid</t>
  </si>
  <si>
    <t xml:space="preserve">Minimal edit</t>
  </si>
  <si>
    <t xml:space="preserve">Selfie, close</t>
  </si>
  <si>
    <t xml:space="preserve">Natural indoor</t>
  </si>
  <si>
    <t xml:space="preserve">Chatty, natural</t>
  </si>
  <si>
    <t xml:space="preserve">20-40</t>
  </si>
  <si>
    <t xml:space="preserve">Women</t>
  </si>
  <si>
    <t xml:space="preserve">Story starts mid-thought</t>
  </si>
  <si>
    <t xml:space="preserve">Pure unscripted delivery</t>
  </si>
  <si>
    <t xml:space="preserve">Casual Physio Niklaus updates</t>
  </si>
  <si>
    <t xml:space="preserve">DNA to verify</t>
  </si>
  <si>
    <t xml:space="preserve">Mia McGrath</t>
  </si>
  <si>
    <t xml:space="preserve">Lightly scripted yap</t>
  </si>
  <si>
    <t xml:space="preserve">Frugal-chic lifestyle</t>
  </si>
  <si>
    <t xml:space="preserve">Friendly, practical</t>
  </si>
  <si>
    <t xml:space="preserve">Light cuts</t>
  </si>
  <si>
    <t xml:space="preserve">Front-facing</t>
  </si>
  <si>
    <t xml:space="preserve">Soft natural</t>
  </si>
  <si>
    <t xml:space="preserve">Conversational</t>
  </si>
  <si>
    <t xml:space="preserve">Women, personal finance/style</t>
  </si>
  <si>
    <t xml:space="preserve">Relatable money/style hook</t>
  </si>
  <si>
    <t xml:space="preserve">Scripted-but-natural</t>
  </si>
  <si>
    <t xml:space="preserve">heal360 lifestyle content</t>
  </si>
  <si>
    <t xml:space="preserve">Kimberly Dang</t>
  </si>
  <si>
    <t xml:space="preserve">Episodic advice</t>
  </si>
  <si>
    <t xml:space="preserve">Communication coach</t>
  </si>
  <si>
    <t xml:space="preserve">Supportive</t>
  </si>
  <si>
    <t xml:space="preserve">Episodic format</t>
  </si>
  <si>
    <t xml:space="preserve">Clean</t>
  </si>
  <si>
    <t xml:space="preserve">Articulate</t>
  </si>
  <si>
    <t xml:space="preserve">20-35</t>
  </si>
  <si>
    <t xml:space="preserve">Young professionals</t>
  </si>
  <si>
    <t xml:space="preserve">'Today's episode is for...'</t>
  </si>
  <si>
    <t xml:space="preserve">Episode framing</t>
  </si>
  <si>
    <t xml:space="preserve">Series-format physio tips</t>
  </si>
  <si>
    <t xml:space="preserve">Alex Hormozi</t>
  </si>
  <si>
    <t xml:space="preserve">Business sermon</t>
  </si>
  <si>
    <t xml:space="preserve">Intense, dense value</t>
  </si>
  <si>
    <t xml:space="preserve">Blunt, contrarian</t>
  </si>
  <si>
    <t xml:space="preserve">Very fast; every pause cut; word-by-word bold captions; graphics</t>
  </si>
  <si>
    <t xml:space="preserve">Tight medium close-up, studio/gym</t>
  </si>
  <si>
    <t xml:space="preserve">High-contrast studio</t>
  </si>
  <si>
    <t xml:space="preserve">Deep, rapid, punchy</t>
  </si>
  <si>
    <t xml:space="preserve">22-45</t>
  </si>
  <si>
    <t xml:space="preserve">Men-skewed entrepreneurs</t>
  </si>
  <si>
    <t xml:space="preserve">Contrarian claim</t>
  </si>
  <si>
    <t xml:space="preserve">Dense captions + numbers</t>
  </si>
  <si>
    <t xml:space="preserve">TITAN business channel</t>
  </si>
  <si>
    <t xml:space="preserve">Mel Robbins</t>
  </si>
  <si>
    <t xml:space="preserve">Motivational talk</t>
  </si>
  <si>
    <t xml:space="preserve">Warm tough-love</t>
  </si>
  <si>
    <t xml:space="preserve">Empathetic, practical</t>
  </si>
  <si>
    <t xml:space="preserve">Podcast/stage clips</t>
  </si>
  <si>
    <t xml:space="preserve">Mid shots, studio/stage</t>
  </si>
  <si>
    <t xml:space="preserve">Polished studio</t>
  </si>
  <si>
    <t xml:space="preserve">Raspy, conversational</t>
  </si>
  <si>
    <t xml:space="preserve">30-60</t>
  </si>
  <si>
    <t xml:space="preserve">Women-skewed</t>
  </si>
  <si>
    <t xml:space="preserve">'If you...' hook</t>
  </si>
  <si>
    <t xml:space="preserve">Simple rule people can use today</t>
  </si>
  <si>
    <t xml:space="preserve">heal360 mindset/recovery content</t>
  </si>
  <si>
    <t xml:space="preserve">Gary Vaynerchuk</t>
  </si>
  <si>
    <t xml:space="preserve">All platforms</t>
  </si>
  <si>
    <t xml:space="preserve">Raw hype</t>
  </si>
  <si>
    <t xml:space="preserve">Unpolished hustle</t>
  </si>
  <si>
    <t xml:space="preserve">Loud, direct</t>
  </si>
  <si>
    <t xml:space="preserve">Clips from keynotes/vlogs, doc-style</t>
  </si>
  <si>
    <t xml:space="preserve">Handheld documentary</t>
  </si>
  <si>
    <t xml:space="preserve">Loud NY, unfiltered</t>
  </si>
  <si>
    <t xml:space="preserve">Aspiring entrepreneurs</t>
  </si>
  <si>
    <t xml:space="preserve">Hard truth opener</t>
  </si>
  <si>
    <t xml:space="preserve">Volume of raw clips</t>
  </si>
  <si>
    <t xml:space="preserve">TITAN operator content</t>
  </si>
  <si>
    <t xml:space="preserve">Steven Bartlett</t>
  </si>
  <si>
    <t xml:space="preserve">YouTube, TikTok, IG</t>
  </si>
  <si>
    <t xml:space="preserve">Podcast-clip storytelling</t>
  </si>
  <si>
    <t xml:space="preserve">Moody, emotional depth</t>
  </si>
  <si>
    <t xml:space="preserve">Earnest</t>
  </si>
  <si>
    <t xml:space="preserve">Clips of key guest moments</t>
  </si>
  <si>
    <t xml:space="preserve">Dark studio, multi-cam</t>
  </si>
  <si>
    <t xml:space="preserve">Low-key dramatic</t>
  </si>
  <si>
    <t xml:space="preserve">Calm British</t>
  </si>
  <si>
    <t xml:space="preserve">20-45</t>
  </si>
  <si>
    <t xml:space="preserve">Global self-improvement</t>
  </si>
  <si>
    <t xml:space="preserve">Guest's shocking stat/quote</t>
  </si>
  <si>
    <t xml:space="preserve">Moody studio + emotional moment</t>
  </si>
  <si>
    <t xml:space="preserve">Future Physio Niklaus podcast</t>
  </si>
  <si>
    <t xml:space="preserve">Ho Nguyen Minh Khang</t>
  </si>
  <si>
    <t xml:space="preserve">Vietnam</t>
  </si>
  <si>
    <t xml:space="preserve">Educator storytelling</t>
  </si>
  <si>
    <t xml:space="preserve">Nostalgic school life</t>
  </si>
  <si>
    <t xml:space="preserve">Warm, nostalgic</t>
  </si>
  <si>
    <t xml:space="preserve">Story-led</t>
  </si>
  <si>
    <t xml:space="preserve">Front-facing / classroom</t>
  </si>
  <si>
    <t xml:space="preserve">Teacher voice, Vietnamese</t>
  </si>
  <si>
    <t xml:space="preserve">13-25</t>
  </si>
  <si>
    <t xml:space="preserve">Vietnamese youth</t>
  </si>
  <si>
    <t xml:space="preserve">School-memory hook</t>
  </si>
  <si>
    <t xml:space="preserve">Nostalgia + lesson</t>
  </si>
  <si>
    <t xml:space="preserve">HCMC docuseries tone</t>
  </si>
  <si>
    <t xml:space="preserve">Jerome Polin</t>
  </si>
  <si>
    <t xml:space="preserve">Indonesia</t>
  </si>
  <si>
    <t xml:space="preserve">Edu-vlog</t>
  </si>
  <si>
    <t xml:space="preserve">Upbeat smart-friend</t>
  </si>
  <si>
    <t xml:space="preserve">Positive, curious</t>
  </si>
  <si>
    <t xml:space="preserve">Vlog pace with explainers</t>
  </si>
  <si>
    <t xml:space="preserve">Mixed vlog + talking head</t>
  </si>
  <si>
    <t xml:space="preserve">Energetic Bahasa Indonesia</t>
  </si>
  <si>
    <t xml:space="preserve">Indonesian students</t>
  </si>
  <si>
    <t xml:space="preserve">Curious question</t>
  </si>
  <si>
    <t xml:space="preserve">Math/Japan life explained simply</t>
  </si>
  <si>
    <t xml:space="preserve">Education explainer format</t>
  </si>
  <si>
    <t xml:space="preserve">Lukeychan</t>
  </si>
  <si>
    <t xml:space="preserve">Commentary yap</t>
  </si>
  <si>
    <t xml:space="preserve">Witty SG society takes</t>
  </si>
  <si>
    <t xml:space="preserve">Light, observational</t>
  </si>
  <si>
    <t xml:space="preserve">Singaporean English</t>
  </si>
  <si>
    <t xml:space="preserve">Relatable SG situation</t>
  </si>
  <si>
    <t xml:space="preserve">Relationship/society commentary</t>
  </si>
  <si>
    <t xml:space="preserve">SG audience Physio Spot yaps</t>
  </si>
  <si>
    <t xml:space="preserve">Streamers &amp; clip edits</t>
  </si>
  <si>
    <t xml:space="preserve">Kai Cenat</t>
  </si>
  <si>
    <t xml:space="preserve">Twitch, YouTube clips, TikTok</t>
  </si>
  <si>
    <t xml:space="preserve">Streamer (source energy)</t>
  </si>
  <si>
    <t xml:space="preserve">Loud, chaotic hangout</t>
  </si>
  <si>
    <t xml:space="preserve">Hype, unpredictable</t>
  </si>
  <si>
    <t xml:space="preserve">Clip channels: hard cut into the peak, bold animated captions, guest-reaction cutaways</t>
  </si>
  <si>
    <t xml:space="preserve">Webcam + room cam, multi-person</t>
  </si>
  <si>
    <t xml:space="preserve">Bright RGB streamer room</t>
  </si>
  <si>
    <t xml:space="preserve">Shouting reactions, catchphrases</t>
  </si>
  <si>
    <t xml:space="preserve">US/global Gen Z gaming + culture</t>
  </si>
  <si>
    <t xml:space="preserve">Peak reaction in frame 1</t>
  </si>
  <si>
    <t xml:space="preserve">Surprise guests + over-the-top reactions</t>
  </si>
  <si>
    <t xml:space="preserve">Energy template for Power Protein/PeachForm hype clips</t>
  </si>
  <si>
    <t xml:space="preserve">Wk3 streamers</t>
  </si>
  <si>
    <t xml:space="preserve">IShowSpeed</t>
  </si>
  <si>
    <t xml:space="preserve">YouTube, TikTok clips</t>
  </si>
  <si>
    <t xml:space="preserve">Unhinged global IRL tours</t>
  </si>
  <si>
    <t xml:space="preserve">Chaotic, wholesome-chaotic</t>
  </si>
  <si>
    <t xml:space="preserve">Clip channels: phonk music, skull emoji, dramatic captions ('W Speed')</t>
  </si>
  <si>
    <t xml:space="preserve">Handheld IRL + webcam</t>
  </si>
  <si>
    <t xml:space="preserve">Natural IRL / RGB room</t>
  </si>
  <si>
    <t xml:space="preserve">Screaming, barking, catchphrases</t>
  </si>
  <si>
    <t xml:space="preserve">10-24</t>
  </si>
  <si>
    <t xml:space="preserve">Global Gen Z / Gen Alpha</t>
  </si>
  <si>
    <t xml:space="preserve">Freakout or stunt</t>
  </si>
  <si>
    <t xml:space="preserve">Physical chaos + fan interactions</t>
  </si>
  <si>
    <t xml:space="preserve">Ironic 'W' edit format for any brand</t>
  </si>
  <si>
    <t xml:space="preserve">Adin Ross</t>
  </si>
  <si>
    <t xml:space="preserve">Kick, YouTube clips</t>
  </si>
  <si>
    <t xml:space="preserve">Celebrity-guest drama</t>
  </si>
  <si>
    <t xml:space="preserve">Provocative</t>
  </si>
  <si>
    <t xml:space="preserve">Clip channels: guest-reaction zooms, drama captions</t>
  </si>
  <si>
    <t xml:space="preserve">Webcam + guest cam</t>
  </si>
  <si>
    <t xml:space="preserve">RGB studio</t>
  </si>
  <si>
    <t xml:space="preserve">Banter, provocation</t>
  </si>
  <si>
    <t xml:space="preserve">US young men</t>
  </si>
  <si>
    <t xml:space="preserve">Celebrity reveal</t>
  </si>
  <si>
    <t xml:space="preserve">Big-name guests on stream</t>
  </si>
  <si>
    <t xml:space="preserve">Low fit (controversy risk)</t>
  </si>
  <si>
    <t xml:space="preserve">Brand-safety check</t>
  </si>
  <si>
    <t xml:space="preserve">Jynxzi</t>
  </si>
  <si>
    <t xml:space="preserve">Twitch, YouTube clips</t>
  </si>
  <si>
    <t xml:space="preserve">Gaming rage comedy</t>
  </si>
  <si>
    <t xml:space="preserve">Explosive</t>
  </si>
  <si>
    <t xml:space="preserve">Clip channels: rage peak, screen shake, captions</t>
  </si>
  <si>
    <t xml:space="preserve">Webcam over gameplay</t>
  </si>
  <si>
    <t xml:space="preserve">RGB gaming room</t>
  </si>
  <si>
    <t xml:space="preserve">Screaming rage</t>
  </si>
  <si>
    <t xml:space="preserve">13-22</t>
  </si>
  <si>
    <t xml:space="preserve">US Gen Z gamers</t>
  </si>
  <si>
    <t xml:space="preserve">Rage moment</t>
  </si>
  <si>
    <t xml:space="preserve">Rage reactions</t>
  </si>
  <si>
    <t xml:space="preserve">Gaming-style hype edits</t>
  </si>
  <si>
    <t xml:space="preserve">Duke Dennis</t>
  </si>
  <si>
    <t xml:space="preserve">Gym-bro + gaming humour</t>
  </si>
  <si>
    <t xml:space="preserve">Funny, cocky</t>
  </si>
  <si>
    <t xml:space="preserve">Clip channels: gym/gaming moments, reaction captions</t>
  </si>
  <si>
    <t xml:space="preserve">Webcam + IRL gym</t>
  </si>
  <si>
    <t xml:space="preserve">RGB room / gym</t>
  </si>
  <si>
    <t xml:space="preserve">Confident, comedic</t>
  </si>
  <si>
    <t xml:space="preserve">US young men, fitness + gaming</t>
  </si>
  <si>
    <t xml:space="preserve">Flex or roast</t>
  </si>
  <si>
    <t xml:space="preserve">Fitness + streamer crossover</t>
  </si>
  <si>
    <t xml:space="preserve">Physio Spot/PeachForm gym humour</t>
  </si>
  <si>
    <t xml:space="preserve">Plaqueboymax</t>
  </si>
  <si>
    <t xml:space="preserve">Music-producer hangouts</t>
  </si>
  <si>
    <t xml:space="preserve">Hype, creative</t>
  </si>
  <si>
    <t xml:space="preserve">Clip channels: beat-reaction cuts</t>
  </si>
  <si>
    <t xml:space="preserve">Studio webcam</t>
  </si>
  <si>
    <t xml:space="preserve">Studio RGB</t>
  </si>
  <si>
    <t xml:space="preserve">Hype reactions to music</t>
  </si>
  <si>
    <t xml:space="preserve">US hip-hop fans</t>
  </si>
  <si>
    <t xml:space="preserve">Beat drop reaction</t>
  </si>
  <si>
    <t xml:space="preserve">Live music sessions with artists</t>
  </si>
  <si>
    <t xml:space="preserve">Music-led promo energy</t>
  </si>
  <si>
    <t xml:space="preserve">deagzzzshorts (clip editor)</t>
  </si>
  <si>
    <t xml:space="preserve">Unknown</t>
  </si>
  <si>
    <t xml:space="preserve">YouTube Shorts</t>
  </si>
  <si>
    <t xml:space="preserve">Clip EDITOR style</t>
  </si>
  <si>
    <t xml:space="preserve">Ironic heroic dramatization</t>
  </si>
  <si>
    <t xml:space="preserve">Ironic / wholesome</t>
  </si>
  <si>
    <t xml:space="preserve">Phonk or emotional song, dramatic captions on mundane actions, skull emoji</t>
  </si>
  <si>
    <t xml:space="preserve">Re-framed 9:16 crops of streams</t>
  </si>
  <si>
    <t xml:space="preserve">Inherits source</t>
  </si>
  <si>
    <t xml:space="preserve">No VO - captions carry it</t>
  </si>
  <si>
    <t xml:space="preserve">Global Gen Z meme culture</t>
  </si>
  <si>
    <t xml:space="preserve">Caption on a mundane action ('Picks up water')</t>
  </si>
  <si>
    <t xml:space="preserve">Treats tiny moments as epic</t>
  </si>
  <si>
    <t xml:space="preserve">'W Physio Niklaus' ironic edits</t>
  </si>
  <si>
    <t xml:space="preserve">Country unknown</t>
  </si>
  <si>
    <t xml:space="preserve">Angry Ginge</t>
  </si>
  <si>
    <t xml:space="preserve">Twitch, TikTok, YouTube clips</t>
  </si>
  <si>
    <t xml:space="preserve">UK lad banter</t>
  </si>
  <si>
    <t xml:space="preserve">Cheeky, loud</t>
  </si>
  <si>
    <t xml:space="preserve">Clip channels: banter peaks, captions</t>
  </si>
  <si>
    <t xml:space="preserve">Webcam + IRL</t>
  </si>
  <si>
    <t xml:space="preserve">RGB room / IRL</t>
  </si>
  <si>
    <t xml:space="preserve">Manchester banter</t>
  </si>
  <si>
    <t xml:space="preserve">UK Gen Z young men</t>
  </si>
  <si>
    <t xml:space="preserve">Banter punchline</t>
  </si>
  <si>
    <t xml:space="preserve">Football + IRL antics</t>
  </si>
  <si>
    <t xml:space="preserve">UK-market hype clips</t>
  </si>
  <si>
    <t xml:space="preserve">Verify current status</t>
  </si>
  <si>
    <t xml:space="preserve">Niche / industry</t>
  </si>
  <si>
    <t xml:space="preserve">Pelvic Sanity</t>
  </si>
  <si>
    <t xml:space="preserve">Instagram</t>
  </si>
  <si>
    <t xml:space="preserve">Pelvic-health physio education</t>
  </si>
  <si>
    <t xml:space="preserve">Clinical but approachable</t>
  </si>
  <si>
    <t xml:space="preserve">Reassuring, stigma-free</t>
  </si>
  <si>
    <t xml:space="preserve">Educational carousels/reels, text-led</t>
  </si>
  <si>
    <t xml:space="preserve">Clinic / talking head</t>
  </si>
  <si>
    <t xml:space="preserve">Clean bright clinic</t>
  </si>
  <si>
    <t xml:space="preserve">Calm clinician</t>
  </si>
  <si>
    <t xml:space="preserve">25-55</t>
  </si>
  <si>
    <t xml:space="preserve">Pelvic-health patients, women-skewed</t>
  </si>
  <si>
    <t xml:space="preserve">Common symptom question</t>
  </si>
  <si>
    <t xml:space="preserve">Destigmatising pelvic topics</t>
  </si>
  <si>
    <t xml:space="preserve">DIRECT model for Physio Spot / men's pelvic content</t>
  </si>
  <si>
    <t xml:space="preserve">Verify current reel style</t>
  </si>
  <si>
    <t xml:space="preserve">Wk4b niche anchors</t>
  </si>
  <si>
    <t xml:space="preserve">The Prehab Guys</t>
  </si>
  <si>
    <t xml:space="preserve">Instagram, TikTok</t>
  </si>
  <si>
    <t xml:space="preserve">Physio exercise education</t>
  </si>
  <si>
    <t xml:space="preserve">Polished clinical how-to</t>
  </si>
  <si>
    <t xml:space="preserve">Expert, encouraging</t>
  </si>
  <si>
    <t xml:space="preserve">Demo + labelled cues, clean cuts</t>
  </si>
  <si>
    <t xml:space="preserve">Full-body exercise demos, multiple angles</t>
  </si>
  <si>
    <t xml:space="preserve">Bright studio</t>
  </si>
  <si>
    <t xml:space="preserve">Coaching VO</t>
  </si>
  <si>
    <t xml:space="preserve">Active adults, athletes, clinicians</t>
  </si>
  <si>
    <t xml:space="preserve">'Do this if your X hurts'</t>
  </si>
  <si>
    <t xml:space="preserve">Exercise demos with on-screen cues</t>
  </si>
  <si>
    <t xml:space="preserve">heal360 exercise education</t>
  </si>
  <si>
    <t xml:space="preserve">Runs alongside a commercial program business</t>
  </si>
  <si>
    <t xml:space="preserve">Sam Sulek</t>
  </si>
  <si>
    <t xml:space="preserve">Raw gym vlog</t>
  </si>
  <si>
    <t xml:space="preserve">Unpolished, hypnotic gym diary</t>
  </si>
  <si>
    <t xml:space="preserve">Earnest, unbothered</t>
  </si>
  <si>
    <t xml:space="preserve">Long unedited takes, minimal cuts</t>
  </si>
  <si>
    <t xml:space="preserve">Handheld phone at arm's length / propped</t>
  </si>
  <si>
    <t xml:space="preserve">Harsh gym fluorescent</t>
  </si>
  <si>
    <t xml:space="preserve">Mumbling, deadpan</t>
  </si>
  <si>
    <t xml:space="preserve">Young men into lifting</t>
  </si>
  <si>
    <t xml:space="preserve">Mid-set, no intro</t>
  </si>
  <si>
    <t xml:space="preserve">Anti-production authenticity</t>
  </si>
  <si>
    <t xml:space="preserve">Physio Niklaus gym-floor content</t>
  </si>
  <si>
    <t xml:space="preserve">Dr. Mike (Varshavski)</t>
  </si>
  <si>
    <t xml:space="preserve">Doctor reacts / explains</t>
  </si>
  <si>
    <t xml:space="preserve">Trusted MD friend</t>
  </si>
  <si>
    <t xml:space="preserve">Myth-busting, friendly</t>
  </si>
  <si>
    <t xml:space="preserve">Reaction format, B-roll, captions</t>
  </si>
  <si>
    <t xml:space="preserve">Studio medium shots</t>
  </si>
  <si>
    <t xml:space="preserve">Health-curious general public</t>
  </si>
  <si>
    <t xml:space="preserve">'Doctor reacts to...'</t>
  </si>
  <si>
    <t xml:space="preserve">Reacting to bad health advice</t>
  </si>
  <si>
    <t xml:space="preserve">Physio Niklaus myth-busting reactions</t>
  </si>
  <si>
    <t xml:space="preserve">Mikayla Nogueira</t>
  </si>
  <si>
    <t xml:space="preserve">Beauty review</t>
  </si>
  <si>
    <t xml:space="preserve">Unfiltered beauty bestie</t>
  </si>
  <si>
    <t xml:space="preserve">Honest, dramatic</t>
  </si>
  <si>
    <t xml:space="preserve">Close-up demo, quick cuts</t>
  </si>
  <si>
    <t xml:space="preserve">Extreme face close-up, front-facing</t>
  </si>
  <si>
    <t xml:space="preserve">Ring light, bright</t>
  </si>
  <si>
    <t xml:space="preserve">Strong Boston accent, emphatic</t>
  </si>
  <si>
    <t xml:space="preserve">Beauty buyers, women</t>
  </si>
  <si>
    <t xml:space="preserve">Product verdict up front</t>
  </si>
  <si>
    <t xml:space="preserve">Honest first-impression reviews</t>
  </si>
  <si>
    <t xml:space="preserve">PeachForm product honesty format</t>
  </si>
  <si>
    <t xml:space="preserve">Alix Earle</t>
  </si>
  <si>
    <t xml:space="preserve">GRWM storytelling</t>
  </si>
  <si>
    <t xml:space="preserve">Get-ready-with-me confessional</t>
  </si>
  <si>
    <t xml:space="preserve">Candid, glam</t>
  </si>
  <si>
    <t xml:space="preserve">Long-ish takes while doing makeup</t>
  </si>
  <si>
    <t xml:space="preserve">Front-facing mirror/phone</t>
  </si>
  <si>
    <t xml:space="preserve">Warm vanity light</t>
  </si>
  <si>
    <t xml:space="preserve">Chatty storytelling</t>
  </si>
  <si>
    <t xml:space="preserve">18-28</t>
  </si>
  <si>
    <t xml:space="preserve">Gen Z women</t>
  </si>
  <si>
    <t xml:space="preserve">Story starts mid-routine</t>
  </si>
  <si>
    <t xml:space="preserve">Telling life stories while getting ready</t>
  </si>
  <si>
    <t xml:space="preserve">'Train-with-me' yap format for PeachForm</t>
  </si>
  <si>
    <t xml:space="preserve">Nick DiGiovanni</t>
  </si>
  <si>
    <t xml:space="preserve">Food / cooking</t>
  </si>
  <si>
    <t xml:space="preserve">High-energy cooking stunts</t>
  </si>
  <si>
    <t xml:space="preserve">Fun, ambitious</t>
  </si>
  <si>
    <t xml:space="preserve">Fast cooking cuts, ASMR, big reveals</t>
  </si>
  <si>
    <t xml:space="preserve">Overhead + close food macros</t>
  </si>
  <si>
    <t xml:space="preserve">Bright kitchen, punchy colour</t>
  </si>
  <si>
    <t xml:space="preserve">Upbeat VO</t>
  </si>
  <si>
    <t xml:space="preserve">Food fans, global</t>
  </si>
  <si>
    <t xml:space="preserve">Big claim or giant dish</t>
  </si>
  <si>
    <t xml:space="preserve">Record attempts + collabs</t>
  </si>
  <si>
    <t xml:space="preserve">Power Protein recipe content</t>
  </si>
  <si>
    <t xml:space="preserve">Vivian Tu (Your Rich BFF)</t>
  </si>
  <si>
    <t xml:space="preserve">Personal finance</t>
  </si>
  <si>
    <t xml:space="preserve">Money talk from your bestie</t>
  </si>
  <si>
    <t xml:space="preserve">Sassy, empowering</t>
  </si>
  <si>
    <t xml:space="preserve">Fast talking head, text callouts</t>
  </si>
  <si>
    <t xml:space="preserve">Rapid, sassy</t>
  </si>
  <si>
    <t xml:space="preserve">Young women, finance beginners</t>
  </si>
  <si>
    <t xml:space="preserve">'Here's what rich people do...'</t>
  </si>
  <si>
    <t xml:space="preserve">Finance in bestie language</t>
  </si>
  <si>
    <t xml:space="preserve">TITAN business explainers</t>
  </si>
  <si>
    <t xml:space="preserve">MKBHD (Marques Brownlee)</t>
  </si>
  <si>
    <t xml:space="preserve">YouTube, Shorts</t>
  </si>
  <si>
    <t xml:space="preserve">Tech review</t>
  </si>
  <si>
    <t xml:space="preserve">Premium, precise product craft</t>
  </si>
  <si>
    <t xml:space="preserve">Calm, authoritative</t>
  </si>
  <si>
    <t xml:space="preserve">Clean cuts, macro B-roll</t>
  </si>
  <si>
    <t xml:space="preserve">Locked-off, shallow depth of field</t>
  </si>
  <si>
    <t xml:space="preserve">Matte grey studio, crisp</t>
  </si>
  <si>
    <t xml:space="preserve">Measured, articulate</t>
  </si>
  <si>
    <t xml:space="preserve">Tech enthusiasts, men-skewed</t>
  </si>
  <si>
    <t xml:space="preserve">Product in hand, one claim</t>
  </si>
  <si>
    <t xml:space="preserve">Cinematic product macros</t>
  </si>
  <si>
    <t xml:space="preserve">Premium product shots for any brand</t>
  </si>
  <si>
    <t xml:space="preserve">Kayla Itsines</t>
  </si>
  <si>
    <t xml:space="preserve">Fitness program</t>
  </si>
  <si>
    <t xml:space="preserve">Approachable home workouts</t>
  </si>
  <si>
    <t xml:space="preserve">Encouraging, warm</t>
  </si>
  <si>
    <t xml:space="preserve">Demo circuits, timers on screen</t>
  </si>
  <si>
    <t xml:space="preserve">Full-body home/gym demos</t>
  </si>
  <si>
    <t xml:space="preserve">Bright natural</t>
  </si>
  <si>
    <t xml:space="preserve">Warm Aussie coach</t>
  </si>
  <si>
    <t xml:space="preserve">Women, home fitness</t>
  </si>
  <si>
    <t xml:space="preserve">Quick workout promise</t>
  </si>
  <si>
    <t xml:space="preserve">Short follow-along circuits</t>
  </si>
  <si>
    <t xml:space="preserve">PeachForm workout demos</t>
  </si>
  <si>
    <t xml:space="preserve">Adam Meakins (The Sports Physio)</t>
  </si>
  <si>
    <t xml:space="preserve">Physio myth-busting</t>
  </si>
  <si>
    <t xml:space="preserve">Evidence-based contrarian</t>
  </si>
  <si>
    <t xml:space="preserve">Blunt, critical</t>
  </si>
  <si>
    <t xml:space="preserve">Talking head + text</t>
  </si>
  <si>
    <t xml:space="preserve">Direct British</t>
  </si>
  <si>
    <t xml:space="preserve">25-50</t>
  </si>
  <si>
    <t xml:space="preserve">Clinicians + active adults</t>
  </si>
  <si>
    <t xml:space="preserve">Calls out a fitness myth</t>
  </si>
  <si>
    <t xml:space="preserve">Critiques unsupported rehab/fitness claims</t>
  </si>
  <si>
    <t xml:space="preserve">Physio Spot credibility/myth-busting</t>
  </si>
  <si>
    <t xml:space="preserve">Khairul Aming</t>
  </si>
  <si>
    <t xml:space="preserve">Food + founder</t>
  </si>
  <si>
    <t xml:space="preserve">Home-cook to brand founder</t>
  </si>
  <si>
    <t xml:space="preserve">Warm, humble</t>
  </si>
  <si>
    <t xml:space="preserve">Cooking demo with product</t>
  </si>
  <si>
    <t xml:space="preserve">Kitchen close-ups</t>
  </si>
  <si>
    <t xml:space="preserve">Warm home kitchen</t>
  </si>
  <si>
    <t xml:space="preserve">Gentle Malay narration</t>
  </si>
  <si>
    <t xml:space="preserve">Malaysian home cooks</t>
  </si>
  <si>
    <t xml:space="preserve">Recipe promise</t>
  </si>
  <si>
    <t xml:space="preserve">Built a food brand from cooking content</t>
  </si>
  <si>
    <t xml:space="preserve">Power Protein founder-cooking story</t>
  </si>
  <si>
    <t xml:space="preserve">Verify current focus</t>
  </si>
  <si>
    <t xml:space="preserve">Rate card (vidIQ credits)</t>
  </si>
  <si>
    <t xml:space="preserve">Credits</t>
  </si>
  <si>
    <t xml:space="preserve">IG profile pull</t>
  </si>
  <si>
    <t xml:space="preserve">Short-form watch (TikTok/IG/Shorts)</t>
  </si>
  <si>
    <t xml:space="preserve">YouTube transcript</t>
  </si>
  <si>
    <t xml:space="preserve">Long-form YouTube watch</t>
  </si>
  <si>
    <t xml:space="preserve">Search / outlier call</t>
  </si>
  <si>
    <t xml:space="preserve">Monthly cap (Boost plan)</t>
  </si>
  <si>
    <t xml:space="preserve">Buffer to keep untouched</t>
  </si>
  <si>
    <t xml:space="preserve">Run (06:00 SGT)</t>
  </si>
  <si>
    <t xml:space="preserve">Scope</t>
  </si>
  <si>
    <t xml:space="preserve">Creators</t>
  </si>
  <si>
    <t xml:space="preserve">IG pulls</t>
  </si>
  <si>
    <t xml:space="preserve">Short watches</t>
  </si>
  <si>
    <t xml:space="preserve">Transcripts</t>
  </si>
  <si>
    <t xml:space="preserve">Long watches</t>
  </si>
  <si>
    <t xml:space="preserve">Search calls</t>
  </si>
  <si>
    <t xml:space="preserve">Cumulative</t>
  </si>
  <si>
    <t xml:space="preserve">Remaining spendable (cap - buffer)</t>
  </si>
  <si>
    <t xml:space="preserve">Run 1 - Sun 11 Oct</t>
  </si>
  <si>
    <t xml:space="preserve">Pilot: Jun Yuh, Munya, Night Owl - approve card format</t>
  </si>
  <si>
    <t xml:space="preserve">Run 2 - Mon 12 Oct</t>
  </si>
  <si>
    <t xml:space="preserve">Yapping anchors</t>
  </si>
  <si>
    <t xml:space="preserve">Run 3 - Tue 13 Oct</t>
  </si>
  <si>
    <t xml:space="preserve">Run 4 - Wed 14 Oct</t>
  </si>
  <si>
    <t xml:space="preserve">Skits + ads anchors</t>
  </si>
  <si>
    <t xml:space="preserve">Run 5 - Thu 15 Oct</t>
  </si>
  <si>
    <t xml:space="preserve">Niche anchors: Pelvic Sanity, Prehab Guys, Sam Sulek</t>
  </si>
  <si>
    <t xml:space="preserve">Run 6 - Fri 16 Oct</t>
  </si>
  <si>
    <t xml:space="preserve">Depth: Dr. Mike, Adam Meakins, Kayla Itsines, Mikayla Nogueira, Frank Body, Scrub Daddy</t>
  </si>
  <si>
    <t xml:space="preserve">Runs 1-4</t>
  </si>
  <si>
    <t xml:space="preserve">Trend radar (light, 2 calls per run)</t>
  </si>
  <si>
    <t xml:space="preserve">Total</t>
  </si>
  <si>
    <t xml:space="preserve">Buffer check</t>
  </si>
  <si>
    <t xml:space="preserve">Note</t>
  </si>
  <si>
    <t xml:space="preserve">Unused buffer covers re-watches, your additions, and failed jobs (vidIQ refunds failed analyses). Monthly credits do not roll over - spend gradually, stop at the weekly line.</t>
  </si>
  <si>
    <t xml:space="preserve">Metric</t>
  </si>
  <si>
    <t xml:space="preserve">Value</t>
  </si>
  <si>
    <t xml:space="preserve">Target</t>
  </si>
  <si>
    <t xml:space="preserve">Total creators</t>
  </si>
  <si>
    <t xml:space="preserve">US-based</t>
  </si>
  <si>
    <t xml:space="preserve">US share</t>
  </si>
  <si>
    <t xml:space="preserve">Count: Skits / comedy / 2-3 person</t>
  </si>
  <si>
    <t xml:space="preserve">7-12</t>
  </si>
  <si>
    <t xml:space="preserve">Count: Ads / UGC / product</t>
  </si>
  <si>
    <t xml:space="preserve">Count: Yapping / storytelling / talking-head</t>
  </si>
  <si>
    <t xml:space="preserve">Count: Streamers &amp; clip edits</t>
  </si>
  <si>
    <t xml:space="preserve">Count: Niche / industry</t>
  </si>
  <si>
    <t xml:space="preserve">Country: USA</t>
  </si>
  <si>
    <t xml:space="preserve">&gt;=1</t>
  </si>
  <si>
    <t xml:space="preserve">Country: UK</t>
  </si>
  <si>
    <t xml:space="preserve">Country: Nigeria</t>
  </si>
  <si>
    <t xml:space="preserve">Country: Australia</t>
  </si>
  <si>
    <t xml:space="preserve">Country: Thailand</t>
  </si>
  <si>
    <t xml:space="preserve">Country: Vietnam</t>
  </si>
  <si>
    <t xml:space="preserve">Country: Singapore</t>
  </si>
  <si>
    <t xml:space="preserve">Country: Malaysia</t>
  </si>
  <si>
    <t xml:space="preserve">Country: Indonesia</t>
  </si>
  <si>
    <t xml:space="preserve">Low-confidence rows to verify</t>
  </si>
  <si>
    <t xml:space="preserve">Field</t>
  </si>
  <si>
    <t xml:space="preserve">Meaning</t>
  </si>
  <si>
    <t xml:space="preserve">How to use</t>
  </si>
  <si>
    <t xml:space="preserve">Yellow rows at the bottom of 'Creator DNA' are for your additions. Category and Confidence have dropdowns; Energy is 1-5. 'Mix Check' recalculates the US share (target 72%) and country coverage automatically.</t>
  </si>
  <si>
    <t xml:space="preserve">Status of this data</t>
  </si>
  <si>
    <t xml:space="preserve">DRAFT from published sources + Claude's knowledge, written 11 Oct 2026. Not yet verified by watching videos. Rows marked Low are placeholders - the vidIQ watch pass rewrites them from real footage.</t>
  </si>
  <si>
    <t xml:space="preserve">The overall feeling in 3-6 words: what it's like to watch.</t>
  </si>
  <si>
    <t xml:space="preserve">Emotional register of the content (deadpan, wholesome, roasting, earnest...).</t>
  </si>
  <si>
    <t xml:space="preserve">1 = slow, calm, cinematic. 5 = loud, chaotic, constant motion.</t>
  </si>
  <si>
    <t xml:space="preserve">Cut frequency, jump cuts, pauses, B-roll, captions and SFX habits.</t>
  </si>
  <si>
    <t xml:space="preserve">Who holds the camera, angle, shot size, tripod vs handheld, POV.</t>
  </si>
  <si>
    <t xml:space="preserve">Key light quality and colour grade - feeds straight into Higgsfield prompts.</t>
  </si>
  <si>
    <t xml:space="preserve">Accent, speed, rhythm, persona, language.</t>
  </si>
  <si>
    <t xml:space="preserve">Target age / audience</t>
  </si>
  <si>
    <t xml:space="preserve">Who the creator is actually made for: age band, gender skew, region, interest.</t>
  </si>
  <si>
    <t xml:space="preserve">What happens in the first 1-2 seconds.</t>
  </si>
  <si>
    <t xml:space="preserve">The one thing that makes this creator instantly recognisable.</t>
  </si>
  <si>
    <t xml:space="preserve">Which of your brands/channels this style could serve (Physio Spot, heal360, Power Protein, PeachForm, TITAN, SG politics channel).</t>
  </si>
  <si>
    <t xml:space="preserve">Example row</t>
  </si>
  <si>
    <t xml:space="preserve">Row 2 (Adam Waheed) shows the expected level of detail.</t>
  </si>
  <si>
    <t xml:space="preserve">Which week of the gradual vidIQ rollout analyses this creator. Month 2+ = depth pass with less famous creators.</t>
  </si>
  <si>
    <t xml:space="preserve">Streamers supply the raw energy; clip EDITORS supply the addictive edit (captions, music, zooms). Both are catalogued.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</si>
</sst>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E4E6"/>
      </patternFill>
    </fill>
    <fill>
      <patternFill patternType="solid">
        <fgColor rgb="FFDBEAFE"/>
        <bgColor rgb="FFF3E8FF"/>
      </patternFill>
    </fill>
    <fill>
      <patternFill patternType="solid">
        <fgColor rgb="FFDCFCE7"/>
        <bgColor rgb="FFDBEAFE"/>
      </patternFill>
    </fill>
    <fill>
      <patternFill patternType="solid">
        <fgColor rgb="FFF3E8FF"/>
        <bgColor rgb="FFFFE4E6"/>
      </patternFill>
    </fill>
    <fill>
      <patternFill patternType="solid">
        <fgColor rgb="FFFFE4E6"/>
        <bgColor rgb="FFF3E8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E8FF"/>
      <rgbColor rgb="FFFFE4E6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28"/>
    <col collapsed="false" customWidth="true" hidden="false" outlineLevel="0" max="11" min="11" style="0" width="26"/>
    <col collapsed="false" customWidth="true" hidden="false" outlineLevel="0" max="13" min="12" style="0" width="22"/>
    <col collapsed="false" customWidth="true" hidden="false" outlineLevel="0" max="14" min="14" style="0" width="10"/>
    <col collapsed="false" customWidth="true" hidden="false" outlineLevel="0" max="15" min="15" style="0" width="24"/>
    <col collapsed="false" customWidth="true" hidden="false" outlineLevel="0" max="16" min="16" style="0" width="22"/>
    <col collapsed="false" customWidth="true" hidden="false" outlineLevel="0" max="18" min="17" style="0" width="26"/>
    <col collapsed="false" customWidth="true" hidden="false" outlineLevel="0" max="19" min="19" style="0" width="11"/>
    <col collapsed="false" customWidth="true" hidden="false" outlineLevel="0" max="20" min="20" style="0" width="24"/>
    <col collapsed="false" customWidth="true" hidden="false" outlineLevel="0" max="21" min="21" style="0" width="16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23.85" hidden="false" customHeight="false" outlineLevel="0" collapsed="false">
      <c r="A2" s="2" t="n">
        <v>1</v>
      </c>
      <c r="B2" s="3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n">
        <v>5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</row>
    <row r="3" customFormat="false" ht="23.85" hidden="false" customHeight="false" outlineLevel="0" collapsed="false">
      <c r="A3" s="2" t="n">
        <v>2</v>
      </c>
      <c r="B3" s="3" t="s">
        <v>21</v>
      </c>
      <c r="C3" s="2" t="s">
        <v>40</v>
      </c>
      <c r="D3" s="2" t="s">
        <v>23</v>
      </c>
      <c r="E3" s="2" t="s">
        <v>41</v>
      </c>
      <c r="F3" s="2" t="s">
        <v>42</v>
      </c>
      <c r="G3" s="2" t="s">
        <v>43</v>
      </c>
      <c r="H3" s="2" t="s">
        <v>44</v>
      </c>
      <c r="I3" s="2" t="n">
        <v>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37</v>
      </c>
      <c r="T3" s="2"/>
      <c r="U3" s="2" t="s">
        <v>39</v>
      </c>
    </row>
    <row r="4" customFormat="false" ht="23.85" hidden="false" customHeight="false" outlineLevel="0" collapsed="false">
      <c r="A4" s="2" t="n">
        <v>3</v>
      </c>
      <c r="B4" s="3" t="s">
        <v>21</v>
      </c>
      <c r="C4" s="2" t="s">
        <v>54</v>
      </c>
      <c r="D4" s="2" t="s">
        <v>23</v>
      </c>
      <c r="E4" s="2" t="s">
        <v>55</v>
      </c>
      <c r="F4" s="2" t="s">
        <v>56</v>
      </c>
      <c r="G4" s="2" t="s">
        <v>57</v>
      </c>
      <c r="H4" s="2" t="s">
        <v>58</v>
      </c>
      <c r="I4" s="2" t="n">
        <v>4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</row>
    <row r="5" customFormat="false" ht="23.85" hidden="false" customHeight="false" outlineLevel="0" collapsed="false">
      <c r="A5" s="2" t="n">
        <v>4</v>
      </c>
      <c r="B5" s="3" t="s">
        <v>21</v>
      </c>
      <c r="C5" s="2" t="s">
        <v>71</v>
      </c>
      <c r="D5" s="2" t="s">
        <v>23</v>
      </c>
      <c r="E5" s="2" t="s">
        <v>55</v>
      </c>
      <c r="F5" s="2" t="s">
        <v>72</v>
      </c>
      <c r="G5" s="2" t="s">
        <v>73</v>
      </c>
      <c r="H5" s="2" t="s">
        <v>58</v>
      </c>
      <c r="I5" s="2" t="n">
        <v>4</v>
      </c>
      <c r="J5" s="2" t="s">
        <v>74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  <c r="S5" s="2" t="s">
        <v>68</v>
      </c>
      <c r="T5" s="2" t="s">
        <v>75</v>
      </c>
      <c r="U5" s="2" t="s">
        <v>70</v>
      </c>
    </row>
    <row r="6" customFormat="false" ht="23.85" hidden="false" customHeight="false" outlineLevel="0" collapsed="false">
      <c r="A6" s="2" t="n">
        <v>5</v>
      </c>
      <c r="B6" s="3" t="s">
        <v>21</v>
      </c>
      <c r="C6" s="2" t="s">
        <v>76</v>
      </c>
      <c r="D6" s="2" t="s">
        <v>23</v>
      </c>
      <c r="E6" s="2" t="s">
        <v>77</v>
      </c>
      <c r="F6" s="2" t="s">
        <v>78</v>
      </c>
      <c r="G6" s="2" t="s">
        <v>79</v>
      </c>
      <c r="H6" s="2" t="s">
        <v>80</v>
      </c>
      <c r="I6" s="2" t="n">
        <v>4</v>
      </c>
      <c r="J6" s="2" t="s">
        <v>81</v>
      </c>
      <c r="K6" s="2" t="s">
        <v>82</v>
      </c>
      <c r="L6" s="2" t="s">
        <v>83</v>
      </c>
      <c r="M6" s="2" t="s">
        <v>84</v>
      </c>
      <c r="N6" s="2" t="s">
        <v>85</v>
      </c>
      <c r="O6" s="2" t="s">
        <v>86</v>
      </c>
      <c r="P6" s="2" t="s">
        <v>87</v>
      </c>
      <c r="Q6" s="2" t="s">
        <v>88</v>
      </c>
      <c r="R6" s="2" t="s">
        <v>89</v>
      </c>
      <c r="S6" s="2" t="s">
        <v>68</v>
      </c>
      <c r="T6" s="2" t="s">
        <v>90</v>
      </c>
      <c r="U6" s="2" t="s">
        <v>70</v>
      </c>
    </row>
    <row r="7" customFormat="false" ht="23.85" hidden="false" customHeight="false" outlineLevel="0" collapsed="false">
      <c r="A7" s="2" t="n">
        <v>6</v>
      </c>
      <c r="B7" s="3" t="s">
        <v>21</v>
      </c>
      <c r="C7" s="2" t="s">
        <v>91</v>
      </c>
      <c r="D7" s="2" t="s">
        <v>23</v>
      </c>
      <c r="E7" s="2" t="s">
        <v>92</v>
      </c>
      <c r="F7" s="2" t="s">
        <v>93</v>
      </c>
      <c r="G7" s="2" t="s">
        <v>94</v>
      </c>
      <c r="H7" s="2" t="s">
        <v>95</v>
      </c>
      <c r="I7" s="2" t="n">
        <v>5</v>
      </c>
      <c r="J7" s="2" t="s">
        <v>96</v>
      </c>
      <c r="K7" s="2" t="s">
        <v>97</v>
      </c>
      <c r="L7" s="2" t="s">
        <v>61</v>
      </c>
      <c r="M7" s="2" t="s">
        <v>98</v>
      </c>
      <c r="N7" s="2" t="s">
        <v>99</v>
      </c>
      <c r="O7" s="2" t="s">
        <v>100</v>
      </c>
      <c r="P7" s="2" t="s">
        <v>101</v>
      </c>
      <c r="Q7" s="2" t="s">
        <v>66</v>
      </c>
      <c r="R7" s="2" t="s">
        <v>67</v>
      </c>
      <c r="S7" s="2" t="s">
        <v>68</v>
      </c>
      <c r="T7" s="2" t="s">
        <v>102</v>
      </c>
      <c r="U7" s="2" t="s">
        <v>70</v>
      </c>
    </row>
    <row r="8" customFormat="false" ht="23.85" hidden="false" customHeight="false" outlineLevel="0" collapsed="false">
      <c r="A8" s="2" t="n">
        <v>7</v>
      </c>
      <c r="B8" s="3" t="s">
        <v>21</v>
      </c>
      <c r="C8" s="2" t="s">
        <v>103</v>
      </c>
      <c r="D8" s="2" t="s">
        <v>23</v>
      </c>
      <c r="E8" s="2" t="s">
        <v>104</v>
      </c>
      <c r="F8" s="2" t="s">
        <v>105</v>
      </c>
      <c r="G8" s="2" t="s">
        <v>106</v>
      </c>
      <c r="H8" s="2" t="s">
        <v>107</v>
      </c>
      <c r="I8" s="2" t="n">
        <v>5</v>
      </c>
      <c r="J8" s="2" t="s">
        <v>108</v>
      </c>
      <c r="K8" s="2" t="s">
        <v>109</v>
      </c>
      <c r="L8" s="2" t="s">
        <v>110</v>
      </c>
      <c r="M8" s="2" t="s">
        <v>111</v>
      </c>
      <c r="N8" s="2" t="s">
        <v>63</v>
      </c>
      <c r="O8" s="2" t="s">
        <v>64</v>
      </c>
      <c r="P8" s="2" t="s">
        <v>112</v>
      </c>
      <c r="Q8" s="2" t="s">
        <v>66</v>
      </c>
      <c r="R8" s="2" t="s">
        <v>67</v>
      </c>
      <c r="S8" s="2" t="s">
        <v>68</v>
      </c>
      <c r="T8" s="2" t="s">
        <v>102</v>
      </c>
      <c r="U8" s="2" t="s">
        <v>70</v>
      </c>
    </row>
    <row r="9" customFormat="false" ht="23.85" hidden="false" customHeight="false" outlineLevel="0" collapsed="false">
      <c r="A9" s="2" t="n">
        <v>8</v>
      </c>
      <c r="B9" s="3" t="s">
        <v>21</v>
      </c>
      <c r="C9" s="2" t="s">
        <v>113</v>
      </c>
      <c r="D9" s="2" t="s">
        <v>23</v>
      </c>
      <c r="E9" s="2" t="s">
        <v>104</v>
      </c>
      <c r="F9" s="2" t="s">
        <v>114</v>
      </c>
      <c r="G9" s="2" t="s">
        <v>115</v>
      </c>
      <c r="H9" s="2" t="s">
        <v>116</v>
      </c>
      <c r="I9" s="2" t="n">
        <v>4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122</v>
      </c>
      <c r="P9" s="2" t="s">
        <v>123</v>
      </c>
      <c r="Q9" s="2" t="s">
        <v>124</v>
      </c>
      <c r="R9" s="2" t="s">
        <v>125</v>
      </c>
      <c r="S9" s="2" t="s">
        <v>126</v>
      </c>
      <c r="T9" s="2"/>
      <c r="U9" s="2" t="s">
        <v>39</v>
      </c>
    </row>
    <row r="10" customFormat="false" ht="23.85" hidden="false" customHeight="false" outlineLevel="0" collapsed="false">
      <c r="A10" s="2" t="n">
        <v>9</v>
      </c>
      <c r="B10" s="3" t="s">
        <v>21</v>
      </c>
      <c r="C10" s="2" t="s">
        <v>127</v>
      </c>
      <c r="D10" s="2" t="s">
        <v>23</v>
      </c>
      <c r="E10" s="2" t="s">
        <v>128</v>
      </c>
      <c r="F10" s="2" t="s">
        <v>129</v>
      </c>
      <c r="G10" s="2" t="s">
        <v>130</v>
      </c>
      <c r="H10" s="2" t="s">
        <v>131</v>
      </c>
      <c r="I10" s="2" t="n">
        <v>5</v>
      </c>
      <c r="J10" s="2" t="s">
        <v>132</v>
      </c>
      <c r="K10" s="2" t="s">
        <v>133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140</v>
      </c>
      <c r="S10" s="2" t="s">
        <v>126</v>
      </c>
      <c r="T10" s="2"/>
      <c r="U10" s="2" t="s">
        <v>39</v>
      </c>
    </row>
    <row r="11" customFormat="false" ht="23.85" hidden="false" customHeight="false" outlineLevel="0" collapsed="false">
      <c r="A11" s="2" t="n">
        <v>10</v>
      </c>
      <c r="B11" s="3" t="s">
        <v>21</v>
      </c>
      <c r="C11" s="2" t="s">
        <v>141</v>
      </c>
      <c r="D11" s="2" t="s">
        <v>142</v>
      </c>
      <c r="E11" s="2" t="s">
        <v>41</v>
      </c>
      <c r="F11" s="2" t="s">
        <v>143</v>
      </c>
      <c r="G11" s="2" t="s">
        <v>144</v>
      </c>
      <c r="H11" s="2" t="s">
        <v>145</v>
      </c>
      <c r="I11" s="2" t="n">
        <v>4</v>
      </c>
      <c r="J11" s="2" t="s">
        <v>146</v>
      </c>
      <c r="K11" s="2" t="s">
        <v>147</v>
      </c>
      <c r="L11" s="2" t="s">
        <v>148</v>
      </c>
      <c r="M11" s="2" t="s">
        <v>149</v>
      </c>
      <c r="N11" s="2" t="s">
        <v>150</v>
      </c>
      <c r="O11" s="2" t="s">
        <v>151</v>
      </c>
      <c r="P11" s="2" t="s">
        <v>152</v>
      </c>
      <c r="Q11" s="2" t="s">
        <v>153</v>
      </c>
      <c r="R11" s="2" t="s">
        <v>154</v>
      </c>
      <c r="S11" s="2" t="s">
        <v>37</v>
      </c>
      <c r="T11" s="2"/>
      <c r="U11" s="2" t="s">
        <v>39</v>
      </c>
    </row>
    <row r="12" customFormat="false" ht="23.85" hidden="false" customHeight="false" outlineLevel="0" collapsed="false">
      <c r="A12" s="2" t="n">
        <v>11</v>
      </c>
      <c r="B12" s="3" t="s">
        <v>21</v>
      </c>
      <c r="C12" s="2" t="s">
        <v>155</v>
      </c>
      <c r="D12" s="2" t="s">
        <v>156</v>
      </c>
      <c r="E12" s="2" t="s">
        <v>41</v>
      </c>
      <c r="F12" s="2" t="s">
        <v>157</v>
      </c>
      <c r="G12" s="2" t="s">
        <v>158</v>
      </c>
      <c r="H12" s="2" t="s">
        <v>159</v>
      </c>
      <c r="I12" s="2" t="n">
        <v>3</v>
      </c>
      <c r="J12" s="2" t="s">
        <v>160</v>
      </c>
      <c r="K12" s="2" t="s">
        <v>161</v>
      </c>
      <c r="L12" s="2" t="s">
        <v>162</v>
      </c>
      <c r="M12" s="2" t="s">
        <v>163</v>
      </c>
      <c r="N12" s="2" t="s">
        <v>164</v>
      </c>
      <c r="O12" s="2" t="s">
        <v>165</v>
      </c>
      <c r="P12" s="2" t="s">
        <v>166</v>
      </c>
      <c r="Q12" s="2" t="s">
        <v>167</v>
      </c>
      <c r="R12" s="2" t="s">
        <v>168</v>
      </c>
      <c r="S12" s="2" t="s">
        <v>126</v>
      </c>
      <c r="T12" s="2"/>
      <c r="U12" s="2" t="s">
        <v>169</v>
      </c>
    </row>
    <row r="13" customFormat="false" ht="23.85" hidden="false" customHeight="false" outlineLevel="0" collapsed="false">
      <c r="A13" s="2" t="n">
        <v>12</v>
      </c>
      <c r="B13" s="3" t="s">
        <v>21</v>
      </c>
      <c r="C13" s="2" t="s">
        <v>170</v>
      </c>
      <c r="D13" s="2" t="s">
        <v>171</v>
      </c>
      <c r="E13" s="2" t="s">
        <v>92</v>
      </c>
      <c r="F13" s="2" t="s">
        <v>172</v>
      </c>
      <c r="G13" s="2" t="s">
        <v>173</v>
      </c>
      <c r="H13" s="2" t="s">
        <v>174</v>
      </c>
      <c r="I13" s="2" t="n">
        <v>3</v>
      </c>
      <c r="J13" s="2" t="s">
        <v>175</v>
      </c>
      <c r="K13" s="2" t="s">
        <v>176</v>
      </c>
      <c r="L13" s="2" t="s">
        <v>177</v>
      </c>
      <c r="M13" s="2" t="s">
        <v>178</v>
      </c>
      <c r="N13" s="2" t="s">
        <v>164</v>
      </c>
      <c r="O13" s="2" t="s">
        <v>179</v>
      </c>
      <c r="P13" s="2" t="s">
        <v>180</v>
      </c>
      <c r="Q13" s="2" t="s">
        <v>181</v>
      </c>
      <c r="R13" s="2" t="s">
        <v>182</v>
      </c>
      <c r="S13" s="2" t="s">
        <v>37</v>
      </c>
      <c r="T13" s="2"/>
      <c r="U13" s="2" t="s">
        <v>39</v>
      </c>
    </row>
    <row r="14" customFormat="false" ht="35.05" hidden="false" customHeight="false" outlineLevel="0" collapsed="false">
      <c r="A14" s="2" t="n">
        <v>13</v>
      </c>
      <c r="B14" s="4" t="s">
        <v>183</v>
      </c>
      <c r="C14" s="2" t="s">
        <v>184</v>
      </c>
      <c r="D14" s="2" t="s">
        <v>23</v>
      </c>
      <c r="E14" s="2" t="s">
        <v>55</v>
      </c>
      <c r="F14" s="2" t="s">
        <v>185</v>
      </c>
      <c r="G14" s="2" t="s">
        <v>186</v>
      </c>
      <c r="H14" s="2" t="s">
        <v>187</v>
      </c>
      <c r="I14" s="2" t="n">
        <v>3</v>
      </c>
      <c r="J14" s="2" t="s">
        <v>188</v>
      </c>
      <c r="K14" s="2" t="s">
        <v>189</v>
      </c>
      <c r="L14" s="2" t="s">
        <v>190</v>
      </c>
      <c r="M14" s="2" t="s">
        <v>191</v>
      </c>
      <c r="N14" s="2" t="s">
        <v>192</v>
      </c>
      <c r="O14" s="2" t="s">
        <v>193</v>
      </c>
      <c r="P14" s="2" t="s">
        <v>194</v>
      </c>
      <c r="Q14" s="2" t="s">
        <v>195</v>
      </c>
      <c r="R14" s="2" t="s">
        <v>196</v>
      </c>
      <c r="S14" s="2" t="s">
        <v>37</v>
      </c>
      <c r="T14" s="2" t="s">
        <v>197</v>
      </c>
      <c r="U14" s="2" t="s">
        <v>70</v>
      </c>
    </row>
    <row r="15" customFormat="false" ht="15" hidden="false" customHeight="false" outlineLevel="0" collapsed="false">
      <c r="A15" s="2" t="n">
        <v>14</v>
      </c>
      <c r="B15" s="4" t="s">
        <v>183</v>
      </c>
      <c r="C15" s="2" t="s">
        <v>198</v>
      </c>
      <c r="D15" s="2" t="s">
        <v>23</v>
      </c>
      <c r="E15" s="2" t="s">
        <v>55</v>
      </c>
      <c r="F15" s="2" t="s">
        <v>199</v>
      </c>
      <c r="G15" s="2" t="s">
        <v>200</v>
      </c>
      <c r="H15" s="2" t="s">
        <v>201</v>
      </c>
      <c r="I15" s="2" t="n">
        <v>3</v>
      </c>
      <c r="J15" s="2" t="s">
        <v>202</v>
      </c>
      <c r="K15" s="2" t="s">
        <v>203</v>
      </c>
      <c r="L15" s="2" t="s">
        <v>177</v>
      </c>
      <c r="M15" s="2" t="s">
        <v>62</v>
      </c>
      <c r="N15" s="2" t="s">
        <v>164</v>
      </c>
      <c r="O15" s="2" t="s">
        <v>204</v>
      </c>
      <c r="P15" s="2" t="s">
        <v>205</v>
      </c>
      <c r="Q15" s="2" t="s">
        <v>206</v>
      </c>
      <c r="R15" s="2" t="s">
        <v>207</v>
      </c>
      <c r="S15" s="2" t="s">
        <v>68</v>
      </c>
      <c r="T15" s="2" t="s">
        <v>75</v>
      </c>
      <c r="U15" s="2" t="s">
        <v>70</v>
      </c>
    </row>
    <row r="16" customFormat="false" ht="23.85" hidden="false" customHeight="false" outlineLevel="0" collapsed="false">
      <c r="A16" s="2" t="n">
        <v>15</v>
      </c>
      <c r="B16" s="4" t="s">
        <v>183</v>
      </c>
      <c r="C16" s="2" t="s">
        <v>208</v>
      </c>
      <c r="D16" s="2" t="s">
        <v>23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n">
        <v>3</v>
      </c>
      <c r="J16" s="2" t="s">
        <v>213</v>
      </c>
      <c r="K16" s="2" t="s">
        <v>214</v>
      </c>
      <c r="L16" s="2" t="s">
        <v>215</v>
      </c>
      <c r="M16" s="2" t="s">
        <v>216</v>
      </c>
      <c r="N16" s="2" t="s">
        <v>217</v>
      </c>
      <c r="O16" s="2" t="s">
        <v>218</v>
      </c>
      <c r="P16" s="2" t="s">
        <v>219</v>
      </c>
      <c r="Q16" s="2" t="s">
        <v>220</v>
      </c>
      <c r="R16" s="2" t="s">
        <v>221</v>
      </c>
      <c r="S16" s="2" t="s">
        <v>37</v>
      </c>
      <c r="T16" s="2"/>
      <c r="U16" s="2" t="s">
        <v>39</v>
      </c>
    </row>
    <row r="17" customFormat="false" ht="23.85" hidden="false" customHeight="false" outlineLevel="0" collapsed="false">
      <c r="A17" s="2" t="n">
        <v>16</v>
      </c>
      <c r="B17" s="4" t="s">
        <v>183</v>
      </c>
      <c r="C17" s="2" t="s">
        <v>222</v>
      </c>
      <c r="D17" s="2" t="s">
        <v>23</v>
      </c>
      <c r="E17" s="2" t="s">
        <v>209</v>
      </c>
      <c r="F17" s="2" t="s">
        <v>223</v>
      </c>
      <c r="G17" s="2" t="s">
        <v>224</v>
      </c>
      <c r="H17" s="2" t="s">
        <v>225</v>
      </c>
      <c r="I17" s="2" t="n">
        <v>3</v>
      </c>
      <c r="J17" s="2" t="s">
        <v>226</v>
      </c>
      <c r="K17" s="2" t="s">
        <v>227</v>
      </c>
      <c r="L17" s="2" t="s">
        <v>228</v>
      </c>
      <c r="M17" s="2" t="s">
        <v>229</v>
      </c>
      <c r="N17" s="2" t="s">
        <v>230</v>
      </c>
      <c r="O17" s="2" t="s">
        <v>231</v>
      </c>
      <c r="P17" s="2" t="s">
        <v>232</v>
      </c>
      <c r="Q17" s="2" t="s">
        <v>233</v>
      </c>
      <c r="R17" s="2" t="s">
        <v>234</v>
      </c>
      <c r="S17" s="2" t="s">
        <v>37</v>
      </c>
      <c r="T17" s="2" t="s">
        <v>90</v>
      </c>
      <c r="U17" s="2" t="s">
        <v>70</v>
      </c>
    </row>
    <row r="18" customFormat="false" ht="23.85" hidden="false" customHeight="false" outlineLevel="0" collapsed="false">
      <c r="A18" s="2" t="n">
        <v>17</v>
      </c>
      <c r="B18" s="4" t="s">
        <v>183</v>
      </c>
      <c r="C18" s="2" t="s">
        <v>235</v>
      </c>
      <c r="D18" s="2" t="s">
        <v>23</v>
      </c>
      <c r="E18" s="2" t="s">
        <v>209</v>
      </c>
      <c r="F18" s="2" t="s">
        <v>236</v>
      </c>
      <c r="G18" s="2" t="s">
        <v>237</v>
      </c>
      <c r="H18" s="2" t="s">
        <v>238</v>
      </c>
      <c r="I18" s="2" t="n">
        <v>4</v>
      </c>
      <c r="J18" s="2" t="s">
        <v>239</v>
      </c>
      <c r="K18" s="2" t="s">
        <v>240</v>
      </c>
      <c r="L18" s="2" t="s">
        <v>241</v>
      </c>
      <c r="M18" s="2" t="s">
        <v>242</v>
      </c>
      <c r="N18" s="2" t="s">
        <v>243</v>
      </c>
      <c r="O18" s="2" t="s">
        <v>244</v>
      </c>
      <c r="P18" s="2" t="s">
        <v>245</v>
      </c>
      <c r="Q18" s="2" t="s">
        <v>246</v>
      </c>
      <c r="R18" s="2" t="s">
        <v>247</v>
      </c>
      <c r="S18" s="2" t="s">
        <v>37</v>
      </c>
      <c r="T18" s="2"/>
      <c r="U18" s="2" t="s">
        <v>70</v>
      </c>
    </row>
    <row r="19" customFormat="false" ht="15" hidden="false" customHeight="false" outlineLevel="0" collapsed="false">
      <c r="A19" s="2" t="n">
        <v>18</v>
      </c>
      <c r="B19" s="4" t="s">
        <v>183</v>
      </c>
      <c r="C19" s="2" t="s">
        <v>248</v>
      </c>
      <c r="D19" s="2" t="s">
        <v>23</v>
      </c>
      <c r="E19" s="2" t="s">
        <v>55</v>
      </c>
      <c r="F19" s="2" t="s">
        <v>249</v>
      </c>
      <c r="G19" s="2" t="s">
        <v>250</v>
      </c>
      <c r="H19" s="2" t="s">
        <v>58</v>
      </c>
      <c r="I19" s="2" t="n">
        <v>5</v>
      </c>
      <c r="J19" s="2" t="s">
        <v>251</v>
      </c>
      <c r="K19" s="2" t="s">
        <v>252</v>
      </c>
      <c r="L19" s="2" t="s">
        <v>253</v>
      </c>
      <c r="M19" s="2" t="s">
        <v>254</v>
      </c>
      <c r="N19" s="2" t="s">
        <v>63</v>
      </c>
      <c r="O19" s="2" t="s">
        <v>64</v>
      </c>
      <c r="P19" s="2" t="s">
        <v>255</v>
      </c>
      <c r="Q19" s="2" t="s">
        <v>256</v>
      </c>
      <c r="R19" s="2" t="s">
        <v>257</v>
      </c>
      <c r="S19" s="2" t="s">
        <v>126</v>
      </c>
      <c r="T19" s="2"/>
      <c r="U19" s="2" t="s">
        <v>70</v>
      </c>
    </row>
    <row r="20" customFormat="false" ht="23.85" hidden="false" customHeight="false" outlineLevel="0" collapsed="false">
      <c r="A20" s="2" t="n">
        <v>19</v>
      </c>
      <c r="B20" s="4" t="s">
        <v>183</v>
      </c>
      <c r="C20" s="2" t="s">
        <v>258</v>
      </c>
      <c r="D20" s="2" t="s">
        <v>23</v>
      </c>
      <c r="E20" s="2" t="s">
        <v>55</v>
      </c>
      <c r="F20" s="2" t="s">
        <v>259</v>
      </c>
      <c r="G20" s="2" t="s">
        <v>260</v>
      </c>
      <c r="H20" s="2" t="s">
        <v>261</v>
      </c>
      <c r="I20" s="2" t="n">
        <v>5</v>
      </c>
      <c r="J20" s="2" t="s">
        <v>262</v>
      </c>
      <c r="K20" s="2" t="s">
        <v>263</v>
      </c>
      <c r="L20" s="2" t="s">
        <v>264</v>
      </c>
      <c r="M20" s="2" t="s">
        <v>265</v>
      </c>
      <c r="N20" s="2" t="s">
        <v>63</v>
      </c>
      <c r="O20" s="2" t="s">
        <v>266</v>
      </c>
      <c r="P20" s="2" t="s">
        <v>267</v>
      </c>
      <c r="Q20" s="2" t="s">
        <v>268</v>
      </c>
      <c r="R20" s="2" t="s">
        <v>269</v>
      </c>
      <c r="S20" s="2" t="s">
        <v>126</v>
      </c>
      <c r="T20" s="2"/>
      <c r="U20" s="2" t="s">
        <v>39</v>
      </c>
    </row>
    <row r="21" customFormat="false" ht="23.85" hidden="false" customHeight="false" outlineLevel="0" collapsed="false">
      <c r="A21" s="2" t="n">
        <v>20</v>
      </c>
      <c r="B21" s="4" t="s">
        <v>183</v>
      </c>
      <c r="C21" s="2" t="s">
        <v>270</v>
      </c>
      <c r="D21" s="2" t="s">
        <v>23</v>
      </c>
      <c r="E21" s="2" t="s">
        <v>104</v>
      </c>
      <c r="F21" s="2" t="s">
        <v>271</v>
      </c>
      <c r="G21" s="2" t="s">
        <v>272</v>
      </c>
      <c r="H21" s="2" t="s">
        <v>273</v>
      </c>
      <c r="I21" s="2" t="n">
        <v>4</v>
      </c>
      <c r="J21" s="2" t="s">
        <v>274</v>
      </c>
      <c r="K21" s="2" t="s">
        <v>275</v>
      </c>
      <c r="L21" s="2" t="s">
        <v>276</v>
      </c>
      <c r="M21" s="2" t="s">
        <v>277</v>
      </c>
      <c r="N21" s="2" t="s">
        <v>278</v>
      </c>
      <c r="O21" s="2" t="s">
        <v>279</v>
      </c>
      <c r="P21" s="2" t="s">
        <v>280</v>
      </c>
      <c r="Q21" s="2" t="s">
        <v>281</v>
      </c>
      <c r="R21" s="2" t="s">
        <v>282</v>
      </c>
      <c r="S21" s="2" t="s">
        <v>126</v>
      </c>
      <c r="T21" s="2"/>
      <c r="U21" s="2" t="s">
        <v>39</v>
      </c>
    </row>
    <row r="22" customFormat="false" ht="23.85" hidden="false" customHeight="false" outlineLevel="0" collapsed="false">
      <c r="A22" s="2" t="n">
        <v>21</v>
      </c>
      <c r="B22" s="4" t="s">
        <v>183</v>
      </c>
      <c r="C22" s="2" t="s">
        <v>283</v>
      </c>
      <c r="D22" s="2" t="s">
        <v>23</v>
      </c>
      <c r="E22" s="2" t="s">
        <v>55</v>
      </c>
      <c r="F22" s="2" t="s">
        <v>284</v>
      </c>
      <c r="G22" s="2" t="s">
        <v>285</v>
      </c>
      <c r="H22" s="2" t="s">
        <v>286</v>
      </c>
      <c r="I22" s="2" t="n">
        <v>4</v>
      </c>
      <c r="J22" s="2" t="s">
        <v>287</v>
      </c>
      <c r="K22" s="2" t="s">
        <v>288</v>
      </c>
      <c r="L22" s="2" t="s">
        <v>289</v>
      </c>
      <c r="M22" s="2" t="s">
        <v>58</v>
      </c>
      <c r="N22" s="2" t="s">
        <v>290</v>
      </c>
      <c r="O22" s="2" t="s">
        <v>291</v>
      </c>
      <c r="P22" s="2" t="s">
        <v>292</v>
      </c>
      <c r="Q22" s="2" t="s">
        <v>293</v>
      </c>
      <c r="R22" s="2" t="s">
        <v>294</v>
      </c>
      <c r="S22" s="2" t="s">
        <v>37</v>
      </c>
      <c r="T22" s="2"/>
      <c r="U22" s="2" t="s">
        <v>295</v>
      </c>
    </row>
    <row r="23" customFormat="false" ht="23.85" hidden="false" customHeight="false" outlineLevel="0" collapsed="false">
      <c r="A23" s="2" t="n">
        <v>22</v>
      </c>
      <c r="B23" s="4" t="s">
        <v>183</v>
      </c>
      <c r="C23" s="2" t="s">
        <v>296</v>
      </c>
      <c r="D23" s="2" t="s">
        <v>297</v>
      </c>
      <c r="E23" s="2" t="s">
        <v>298</v>
      </c>
      <c r="F23" s="2" t="s">
        <v>299</v>
      </c>
      <c r="G23" s="2" t="s">
        <v>300</v>
      </c>
      <c r="H23" s="2" t="s">
        <v>301</v>
      </c>
      <c r="I23" s="2" t="n">
        <v>1</v>
      </c>
      <c r="J23" s="2" t="s">
        <v>302</v>
      </c>
      <c r="K23" s="2" t="s">
        <v>303</v>
      </c>
      <c r="L23" s="2" t="s">
        <v>304</v>
      </c>
      <c r="M23" s="2" t="s">
        <v>305</v>
      </c>
      <c r="N23" s="2" t="s">
        <v>306</v>
      </c>
      <c r="O23" s="2" t="s">
        <v>307</v>
      </c>
      <c r="P23" s="2" t="s">
        <v>308</v>
      </c>
      <c r="Q23" s="2" t="s">
        <v>309</v>
      </c>
      <c r="R23" s="2" t="s">
        <v>310</v>
      </c>
      <c r="S23" s="2" t="s">
        <v>126</v>
      </c>
      <c r="T23" s="2"/>
      <c r="U23" s="2" t="s">
        <v>39</v>
      </c>
    </row>
    <row r="24" customFormat="false" ht="15" hidden="false" customHeight="false" outlineLevel="0" collapsed="false">
      <c r="A24" s="2" t="n">
        <v>23</v>
      </c>
      <c r="B24" s="4" t="s">
        <v>183</v>
      </c>
      <c r="C24" s="2" t="s">
        <v>311</v>
      </c>
      <c r="D24" s="2" t="s">
        <v>312</v>
      </c>
      <c r="E24" s="2" t="s">
        <v>313</v>
      </c>
      <c r="F24" s="2" t="s">
        <v>314</v>
      </c>
      <c r="G24" s="2" t="s">
        <v>315</v>
      </c>
      <c r="H24" s="2" t="s">
        <v>316</v>
      </c>
      <c r="I24" s="2" t="n">
        <v>3</v>
      </c>
      <c r="J24" s="2" t="s">
        <v>317</v>
      </c>
      <c r="K24" s="2" t="s">
        <v>318</v>
      </c>
      <c r="L24" s="2" t="s">
        <v>319</v>
      </c>
      <c r="M24" s="2" t="s">
        <v>320</v>
      </c>
      <c r="N24" s="2" t="s">
        <v>121</v>
      </c>
      <c r="O24" s="2" t="s">
        <v>321</v>
      </c>
      <c r="P24" s="2" t="s">
        <v>322</v>
      </c>
      <c r="Q24" s="2" t="s">
        <v>323</v>
      </c>
      <c r="R24" s="2" t="s">
        <v>324</v>
      </c>
      <c r="S24" s="2" t="s">
        <v>37</v>
      </c>
      <c r="T24" s="2"/>
      <c r="U24" s="2" t="s">
        <v>295</v>
      </c>
    </row>
    <row r="25" customFormat="false" ht="23.85" hidden="false" customHeight="false" outlineLevel="0" collapsed="false">
      <c r="A25" s="2" t="n">
        <v>24</v>
      </c>
      <c r="B25" s="4" t="s">
        <v>183</v>
      </c>
      <c r="C25" s="2" t="s">
        <v>325</v>
      </c>
      <c r="D25" s="2" t="s">
        <v>326</v>
      </c>
      <c r="E25" s="2" t="s">
        <v>327</v>
      </c>
      <c r="F25" s="2" t="s">
        <v>328</v>
      </c>
      <c r="G25" s="2" t="s">
        <v>329</v>
      </c>
      <c r="H25" s="2" t="s">
        <v>330</v>
      </c>
      <c r="I25" s="2" t="n">
        <v>4</v>
      </c>
      <c r="J25" s="2" t="s">
        <v>331</v>
      </c>
      <c r="K25" s="2" t="s">
        <v>332</v>
      </c>
      <c r="L25" s="2" t="s">
        <v>333</v>
      </c>
      <c r="M25" s="2" t="s">
        <v>334</v>
      </c>
      <c r="N25" s="2" t="s">
        <v>150</v>
      </c>
      <c r="O25" s="2" t="s">
        <v>335</v>
      </c>
      <c r="P25" s="2" t="s">
        <v>336</v>
      </c>
      <c r="Q25" s="2" t="s">
        <v>337</v>
      </c>
      <c r="R25" s="2" t="s">
        <v>338</v>
      </c>
      <c r="S25" s="2" t="s">
        <v>37</v>
      </c>
      <c r="T25" s="2"/>
      <c r="U25" s="2" t="s">
        <v>169</v>
      </c>
    </row>
    <row r="26" customFormat="false" ht="35.05" hidden="false" customHeight="false" outlineLevel="0" collapsed="false">
      <c r="A26" s="2" t="n">
        <v>25</v>
      </c>
      <c r="B26" s="5" t="s">
        <v>339</v>
      </c>
      <c r="C26" s="2" t="s">
        <v>340</v>
      </c>
      <c r="D26" s="2" t="s">
        <v>23</v>
      </c>
      <c r="E26" s="2" t="s">
        <v>92</v>
      </c>
      <c r="F26" s="2" t="s">
        <v>341</v>
      </c>
      <c r="G26" s="2" t="s">
        <v>342</v>
      </c>
      <c r="H26" s="2" t="s">
        <v>343</v>
      </c>
      <c r="I26" s="2" t="n">
        <v>2</v>
      </c>
      <c r="J26" s="2" t="s">
        <v>344</v>
      </c>
      <c r="K26" s="2" t="s">
        <v>345</v>
      </c>
      <c r="L26" s="2" t="s">
        <v>346</v>
      </c>
      <c r="M26" s="2" t="s">
        <v>347</v>
      </c>
      <c r="N26" s="2" t="s">
        <v>121</v>
      </c>
      <c r="O26" s="2" t="s">
        <v>348</v>
      </c>
      <c r="P26" s="2" t="s">
        <v>349</v>
      </c>
      <c r="Q26" s="2" t="s">
        <v>350</v>
      </c>
      <c r="R26" s="2" t="s">
        <v>351</v>
      </c>
      <c r="S26" s="2" t="s">
        <v>126</v>
      </c>
      <c r="T26" s="2"/>
      <c r="U26" s="2" t="s">
        <v>169</v>
      </c>
    </row>
    <row r="27" customFormat="false" ht="35.05" hidden="false" customHeight="false" outlineLevel="0" collapsed="false">
      <c r="A27" s="2" t="n">
        <v>26</v>
      </c>
      <c r="B27" s="5" t="s">
        <v>339</v>
      </c>
      <c r="C27" s="2" t="s">
        <v>352</v>
      </c>
      <c r="D27" s="2" t="s">
        <v>23</v>
      </c>
      <c r="E27" s="2" t="s">
        <v>55</v>
      </c>
      <c r="F27" s="2" t="s">
        <v>353</v>
      </c>
      <c r="G27" s="2" t="s">
        <v>354</v>
      </c>
      <c r="H27" s="2" t="s">
        <v>355</v>
      </c>
      <c r="I27" s="2" t="n">
        <v>3</v>
      </c>
      <c r="J27" s="2" t="s">
        <v>356</v>
      </c>
      <c r="K27" s="2" t="s">
        <v>357</v>
      </c>
      <c r="L27" s="2" t="s">
        <v>358</v>
      </c>
      <c r="M27" s="2" t="s">
        <v>359</v>
      </c>
      <c r="N27" s="2" t="s">
        <v>360</v>
      </c>
      <c r="O27" s="2" t="s">
        <v>361</v>
      </c>
      <c r="P27" s="2" t="s">
        <v>362</v>
      </c>
      <c r="Q27" s="2" t="s">
        <v>363</v>
      </c>
      <c r="R27" s="2" t="s">
        <v>364</v>
      </c>
      <c r="S27" s="2" t="s">
        <v>37</v>
      </c>
      <c r="T27" s="2"/>
      <c r="U27" s="2" t="s">
        <v>365</v>
      </c>
    </row>
    <row r="28" customFormat="false" ht="35.05" hidden="false" customHeight="false" outlineLevel="0" collapsed="false">
      <c r="A28" s="2" t="n">
        <v>27</v>
      </c>
      <c r="B28" s="5" t="s">
        <v>339</v>
      </c>
      <c r="C28" s="2" t="s">
        <v>366</v>
      </c>
      <c r="D28" s="2" t="s">
        <v>23</v>
      </c>
      <c r="E28" s="2" t="s">
        <v>55</v>
      </c>
      <c r="F28" s="2" t="s">
        <v>367</v>
      </c>
      <c r="G28" s="2" t="s">
        <v>368</v>
      </c>
      <c r="H28" s="2" t="s">
        <v>369</v>
      </c>
      <c r="I28" s="2" t="n">
        <v>3</v>
      </c>
      <c r="J28" s="2" t="s">
        <v>370</v>
      </c>
      <c r="K28" s="2" t="s">
        <v>371</v>
      </c>
      <c r="L28" s="2" t="s">
        <v>372</v>
      </c>
      <c r="M28" s="2" t="s">
        <v>373</v>
      </c>
      <c r="N28" s="2" t="s">
        <v>374</v>
      </c>
      <c r="O28" s="2" t="s">
        <v>375</v>
      </c>
      <c r="P28" s="2" t="s">
        <v>376</v>
      </c>
      <c r="Q28" s="2" t="s">
        <v>377</v>
      </c>
      <c r="R28" s="2" t="s">
        <v>378</v>
      </c>
      <c r="S28" s="2" t="s">
        <v>68</v>
      </c>
      <c r="T28" s="2" t="s">
        <v>379</v>
      </c>
      <c r="U28" s="2" t="s">
        <v>70</v>
      </c>
    </row>
    <row r="29" customFormat="false" ht="35.05" hidden="false" customHeight="false" outlineLevel="0" collapsed="false">
      <c r="A29" s="2" t="n">
        <v>28</v>
      </c>
      <c r="B29" s="5" t="s">
        <v>339</v>
      </c>
      <c r="C29" s="2" t="s">
        <v>380</v>
      </c>
      <c r="D29" s="2" t="s">
        <v>23</v>
      </c>
      <c r="E29" s="2" t="s">
        <v>92</v>
      </c>
      <c r="F29" s="2" t="s">
        <v>381</v>
      </c>
      <c r="G29" s="2" t="s">
        <v>382</v>
      </c>
      <c r="H29" s="2" t="s">
        <v>383</v>
      </c>
      <c r="I29" s="2" t="n">
        <v>3</v>
      </c>
      <c r="J29" s="2" t="s">
        <v>384</v>
      </c>
      <c r="K29" s="2" t="s">
        <v>385</v>
      </c>
      <c r="L29" s="2" t="s">
        <v>386</v>
      </c>
      <c r="M29" s="2" t="s">
        <v>387</v>
      </c>
      <c r="N29" s="2" t="s">
        <v>360</v>
      </c>
      <c r="O29" s="2" t="s">
        <v>388</v>
      </c>
      <c r="P29" s="2" t="s">
        <v>389</v>
      </c>
      <c r="Q29" s="2" t="s">
        <v>390</v>
      </c>
      <c r="R29" s="2" t="s">
        <v>391</v>
      </c>
      <c r="S29" s="2" t="s">
        <v>37</v>
      </c>
      <c r="T29" s="2"/>
      <c r="U29" s="2" t="s">
        <v>365</v>
      </c>
    </row>
    <row r="30" customFormat="false" ht="35.05" hidden="false" customHeight="false" outlineLevel="0" collapsed="false">
      <c r="A30" s="2" t="n">
        <v>29</v>
      </c>
      <c r="B30" s="5" t="s">
        <v>339</v>
      </c>
      <c r="C30" s="2" t="s">
        <v>392</v>
      </c>
      <c r="D30" s="2" t="s">
        <v>23</v>
      </c>
      <c r="E30" s="2" t="s">
        <v>55</v>
      </c>
      <c r="F30" s="2" t="s">
        <v>393</v>
      </c>
      <c r="G30" s="2" t="s">
        <v>394</v>
      </c>
      <c r="H30" s="2" t="s">
        <v>395</v>
      </c>
      <c r="I30" s="2" t="n">
        <v>3</v>
      </c>
      <c r="J30" s="2" t="s">
        <v>396</v>
      </c>
      <c r="K30" s="2" t="s">
        <v>385</v>
      </c>
      <c r="L30" s="2" t="s">
        <v>397</v>
      </c>
      <c r="M30" s="2" t="s">
        <v>398</v>
      </c>
      <c r="N30" s="2" t="s">
        <v>399</v>
      </c>
      <c r="O30" s="2" t="s">
        <v>400</v>
      </c>
      <c r="P30" s="2" t="s">
        <v>401</v>
      </c>
      <c r="Q30" s="2" t="s">
        <v>402</v>
      </c>
      <c r="R30" s="2" t="s">
        <v>403</v>
      </c>
      <c r="S30" s="2" t="s">
        <v>68</v>
      </c>
      <c r="T30" s="2" t="s">
        <v>379</v>
      </c>
      <c r="U30" s="2" t="s">
        <v>70</v>
      </c>
    </row>
    <row r="31" customFormat="false" ht="35.05" hidden="false" customHeight="false" outlineLevel="0" collapsed="false">
      <c r="A31" s="2" t="n">
        <v>30</v>
      </c>
      <c r="B31" s="5" t="s">
        <v>339</v>
      </c>
      <c r="C31" s="2" t="s">
        <v>404</v>
      </c>
      <c r="D31" s="2" t="s">
        <v>23</v>
      </c>
      <c r="E31" s="2" t="s">
        <v>24</v>
      </c>
      <c r="F31" s="2" t="s">
        <v>405</v>
      </c>
      <c r="G31" s="2" t="s">
        <v>406</v>
      </c>
      <c r="H31" s="2" t="s">
        <v>407</v>
      </c>
      <c r="I31" s="2" t="n">
        <v>4</v>
      </c>
      <c r="J31" s="2" t="s">
        <v>408</v>
      </c>
      <c r="K31" s="2" t="s">
        <v>409</v>
      </c>
      <c r="L31" s="2" t="s">
        <v>410</v>
      </c>
      <c r="M31" s="2" t="s">
        <v>411</v>
      </c>
      <c r="N31" s="2" t="s">
        <v>412</v>
      </c>
      <c r="O31" s="2" t="s">
        <v>413</v>
      </c>
      <c r="P31" s="2" t="s">
        <v>414</v>
      </c>
      <c r="Q31" s="2" t="s">
        <v>415</v>
      </c>
      <c r="R31" s="2" t="s">
        <v>416</v>
      </c>
      <c r="S31" s="2" t="s">
        <v>126</v>
      </c>
      <c r="T31" s="2"/>
      <c r="U31" s="2" t="s">
        <v>365</v>
      </c>
    </row>
    <row r="32" customFormat="false" ht="35.05" hidden="false" customHeight="false" outlineLevel="0" collapsed="false">
      <c r="A32" s="2" t="n">
        <v>31</v>
      </c>
      <c r="B32" s="5" t="s">
        <v>339</v>
      </c>
      <c r="C32" s="2" t="s">
        <v>417</v>
      </c>
      <c r="D32" s="2" t="s">
        <v>23</v>
      </c>
      <c r="E32" s="2" t="s">
        <v>41</v>
      </c>
      <c r="F32" s="2" t="s">
        <v>418</v>
      </c>
      <c r="G32" s="2" t="s">
        <v>419</v>
      </c>
      <c r="H32" s="2" t="s">
        <v>420</v>
      </c>
      <c r="I32" s="2" t="n">
        <v>3</v>
      </c>
      <c r="J32" s="2" t="s">
        <v>421</v>
      </c>
      <c r="K32" s="2" t="s">
        <v>422</v>
      </c>
      <c r="L32" s="2" t="s">
        <v>423</v>
      </c>
      <c r="M32" s="2" t="s">
        <v>424</v>
      </c>
      <c r="N32" s="2" t="s">
        <v>425</v>
      </c>
      <c r="O32" s="2" t="s">
        <v>426</v>
      </c>
      <c r="P32" s="2" t="s">
        <v>427</v>
      </c>
      <c r="Q32" s="2" t="s">
        <v>428</v>
      </c>
      <c r="R32" s="2" t="s">
        <v>429</v>
      </c>
      <c r="S32" s="2" t="s">
        <v>126</v>
      </c>
      <c r="T32" s="2"/>
      <c r="U32" s="2" t="s">
        <v>365</v>
      </c>
    </row>
    <row r="33" customFormat="false" ht="35.05" hidden="false" customHeight="false" outlineLevel="0" collapsed="false">
      <c r="A33" s="2" t="n">
        <v>32</v>
      </c>
      <c r="B33" s="5" t="s">
        <v>339</v>
      </c>
      <c r="C33" s="2" t="s">
        <v>430</v>
      </c>
      <c r="D33" s="2" t="s">
        <v>23</v>
      </c>
      <c r="E33" s="2" t="s">
        <v>431</v>
      </c>
      <c r="F33" s="2" t="s">
        <v>432</v>
      </c>
      <c r="G33" s="2" t="s">
        <v>433</v>
      </c>
      <c r="H33" s="2" t="s">
        <v>434</v>
      </c>
      <c r="I33" s="2" t="n">
        <v>5</v>
      </c>
      <c r="J33" s="2" t="s">
        <v>435</v>
      </c>
      <c r="K33" s="2" t="s">
        <v>436</v>
      </c>
      <c r="L33" s="2" t="s">
        <v>110</v>
      </c>
      <c r="M33" s="2" t="s">
        <v>437</v>
      </c>
      <c r="N33" s="2" t="s">
        <v>164</v>
      </c>
      <c r="O33" s="2" t="s">
        <v>438</v>
      </c>
      <c r="P33" s="2" t="s">
        <v>439</v>
      </c>
      <c r="Q33" s="2" t="s">
        <v>440</v>
      </c>
      <c r="R33" s="2" t="s">
        <v>441</v>
      </c>
      <c r="S33" s="2" t="s">
        <v>126</v>
      </c>
      <c r="T33" s="2"/>
      <c r="U33" s="2" t="s">
        <v>365</v>
      </c>
    </row>
    <row r="34" customFormat="false" ht="35.05" hidden="false" customHeight="false" outlineLevel="0" collapsed="false">
      <c r="A34" s="2" t="n">
        <v>33</v>
      </c>
      <c r="B34" s="5" t="s">
        <v>339</v>
      </c>
      <c r="C34" s="2" t="s">
        <v>442</v>
      </c>
      <c r="D34" s="2" t="s">
        <v>156</v>
      </c>
      <c r="E34" s="2" t="s">
        <v>443</v>
      </c>
      <c r="F34" s="2" t="s">
        <v>444</v>
      </c>
      <c r="G34" s="2" t="s">
        <v>445</v>
      </c>
      <c r="H34" s="2" t="s">
        <v>446</v>
      </c>
      <c r="I34" s="2" t="n">
        <v>2</v>
      </c>
      <c r="J34" s="2" t="s">
        <v>447</v>
      </c>
      <c r="K34" s="2" t="s">
        <v>448</v>
      </c>
      <c r="L34" s="2" t="s">
        <v>449</v>
      </c>
      <c r="M34" s="2" t="s">
        <v>450</v>
      </c>
      <c r="N34" s="2" t="s">
        <v>451</v>
      </c>
      <c r="O34" s="2" t="s">
        <v>452</v>
      </c>
      <c r="P34" s="2" t="s">
        <v>453</v>
      </c>
      <c r="Q34" s="2" t="s">
        <v>454</v>
      </c>
      <c r="R34" s="2" t="s">
        <v>455</v>
      </c>
      <c r="S34" s="2" t="s">
        <v>126</v>
      </c>
      <c r="T34" s="2"/>
      <c r="U34" s="2" t="s">
        <v>365</v>
      </c>
    </row>
    <row r="35" customFormat="false" ht="35.05" hidden="false" customHeight="false" outlineLevel="0" collapsed="false">
      <c r="A35" s="2" t="n">
        <v>34</v>
      </c>
      <c r="B35" s="5" t="s">
        <v>339</v>
      </c>
      <c r="C35" s="2" t="s">
        <v>456</v>
      </c>
      <c r="D35" s="2" t="s">
        <v>457</v>
      </c>
      <c r="E35" s="2" t="s">
        <v>55</v>
      </c>
      <c r="F35" s="2" t="s">
        <v>458</v>
      </c>
      <c r="G35" s="2" t="s">
        <v>459</v>
      </c>
      <c r="H35" s="2" t="s">
        <v>460</v>
      </c>
      <c r="I35" s="2" t="n">
        <v>3</v>
      </c>
      <c r="J35" s="2" t="s">
        <v>461</v>
      </c>
      <c r="K35" s="2" t="s">
        <v>462</v>
      </c>
      <c r="L35" s="2" t="s">
        <v>61</v>
      </c>
      <c r="M35" s="2" t="s">
        <v>463</v>
      </c>
      <c r="N35" s="2" t="s">
        <v>464</v>
      </c>
      <c r="O35" s="2" t="s">
        <v>465</v>
      </c>
      <c r="P35" s="2" t="s">
        <v>466</v>
      </c>
      <c r="Q35" s="2" t="s">
        <v>467</v>
      </c>
      <c r="R35" s="2" t="s">
        <v>468</v>
      </c>
      <c r="S35" s="2" t="s">
        <v>68</v>
      </c>
      <c r="T35" s="2" t="s">
        <v>379</v>
      </c>
      <c r="U35" s="2" t="s">
        <v>70</v>
      </c>
    </row>
    <row r="36" customFormat="false" ht="35.05" hidden="false" customHeight="false" outlineLevel="0" collapsed="false">
      <c r="A36" s="2" t="n">
        <v>35</v>
      </c>
      <c r="B36" s="5" t="s">
        <v>339</v>
      </c>
      <c r="C36" s="2" t="s">
        <v>469</v>
      </c>
      <c r="D36" s="2" t="s">
        <v>470</v>
      </c>
      <c r="E36" s="2" t="s">
        <v>443</v>
      </c>
      <c r="F36" s="2" t="s">
        <v>471</v>
      </c>
      <c r="G36" s="2" t="s">
        <v>472</v>
      </c>
      <c r="H36" s="2" t="s">
        <v>473</v>
      </c>
      <c r="I36" s="2" t="n">
        <v>4</v>
      </c>
      <c r="J36" s="2" t="s">
        <v>474</v>
      </c>
      <c r="K36" s="2" t="s">
        <v>475</v>
      </c>
      <c r="L36" s="2" t="s">
        <v>289</v>
      </c>
      <c r="M36" s="2" t="s">
        <v>476</v>
      </c>
      <c r="N36" s="2" t="s">
        <v>464</v>
      </c>
      <c r="O36" s="2" t="s">
        <v>477</v>
      </c>
      <c r="P36" s="2" t="s">
        <v>478</v>
      </c>
      <c r="Q36" s="2" t="s">
        <v>479</v>
      </c>
      <c r="R36" s="2" t="s">
        <v>480</v>
      </c>
      <c r="S36" s="2" t="s">
        <v>37</v>
      </c>
      <c r="T36" s="2"/>
      <c r="U36" s="2" t="s">
        <v>365</v>
      </c>
    </row>
    <row r="37" customFormat="false" ht="35.05" hidden="false" customHeight="false" outlineLevel="0" collapsed="false">
      <c r="A37" s="2" t="n">
        <v>36</v>
      </c>
      <c r="B37" s="5" t="s">
        <v>339</v>
      </c>
      <c r="C37" s="2" t="s">
        <v>481</v>
      </c>
      <c r="D37" s="2" t="s">
        <v>326</v>
      </c>
      <c r="E37" s="2" t="s">
        <v>55</v>
      </c>
      <c r="F37" s="2" t="s">
        <v>482</v>
      </c>
      <c r="G37" s="2" t="s">
        <v>483</v>
      </c>
      <c r="H37" s="2" t="s">
        <v>484</v>
      </c>
      <c r="I37" s="2" t="n">
        <v>3</v>
      </c>
      <c r="J37" s="2" t="s">
        <v>384</v>
      </c>
      <c r="K37" s="2" t="s">
        <v>385</v>
      </c>
      <c r="L37" s="2" t="s">
        <v>372</v>
      </c>
      <c r="M37" s="2" t="s">
        <v>485</v>
      </c>
      <c r="N37" s="2" t="s">
        <v>217</v>
      </c>
      <c r="O37" s="2" t="s">
        <v>335</v>
      </c>
      <c r="P37" s="2" t="s">
        <v>486</v>
      </c>
      <c r="Q37" s="2" t="s">
        <v>487</v>
      </c>
      <c r="R37" s="2" t="s">
        <v>488</v>
      </c>
      <c r="S37" s="2" t="s">
        <v>37</v>
      </c>
      <c r="T37" s="2"/>
      <c r="U37" s="2" t="s">
        <v>365</v>
      </c>
    </row>
    <row r="38" customFormat="false" ht="35.05" hidden="false" customHeight="false" outlineLevel="0" collapsed="false">
      <c r="A38" s="2" t="n">
        <v>37</v>
      </c>
      <c r="B38" s="6" t="s">
        <v>489</v>
      </c>
      <c r="C38" s="2" t="s">
        <v>490</v>
      </c>
      <c r="D38" s="2" t="s">
        <v>23</v>
      </c>
      <c r="E38" s="2" t="s">
        <v>491</v>
      </c>
      <c r="F38" s="2" t="s">
        <v>492</v>
      </c>
      <c r="G38" s="2" t="s">
        <v>493</v>
      </c>
      <c r="H38" s="2" t="s">
        <v>494</v>
      </c>
      <c r="I38" s="2" t="n">
        <v>5</v>
      </c>
      <c r="J38" s="2" t="s">
        <v>495</v>
      </c>
      <c r="K38" s="2" t="s">
        <v>496</v>
      </c>
      <c r="L38" s="2" t="s">
        <v>497</v>
      </c>
      <c r="M38" s="2" t="s">
        <v>498</v>
      </c>
      <c r="N38" s="2" t="s">
        <v>63</v>
      </c>
      <c r="O38" s="2" t="s">
        <v>499</v>
      </c>
      <c r="P38" s="2" t="s">
        <v>500</v>
      </c>
      <c r="Q38" s="2" t="s">
        <v>501</v>
      </c>
      <c r="R38" s="2" t="s">
        <v>502</v>
      </c>
      <c r="S38" s="2" t="s">
        <v>126</v>
      </c>
      <c r="T38" s="2"/>
      <c r="U38" s="2" t="s">
        <v>503</v>
      </c>
    </row>
    <row r="39" customFormat="false" ht="35.05" hidden="false" customHeight="false" outlineLevel="0" collapsed="false">
      <c r="A39" s="2" t="n">
        <v>38</v>
      </c>
      <c r="B39" s="6" t="s">
        <v>489</v>
      </c>
      <c r="C39" s="2" t="s">
        <v>504</v>
      </c>
      <c r="D39" s="2" t="s">
        <v>23</v>
      </c>
      <c r="E39" s="2" t="s">
        <v>505</v>
      </c>
      <c r="F39" s="2" t="s">
        <v>492</v>
      </c>
      <c r="G39" s="2" t="s">
        <v>506</v>
      </c>
      <c r="H39" s="2" t="s">
        <v>507</v>
      </c>
      <c r="I39" s="2" t="n">
        <v>5</v>
      </c>
      <c r="J39" s="2" t="s">
        <v>508</v>
      </c>
      <c r="K39" s="2" t="s">
        <v>509</v>
      </c>
      <c r="L39" s="2" t="s">
        <v>510</v>
      </c>
      <c r="M39" s="2" t="s">
        <v>511</v>
      </c>
      <c r="N39" s="2" t="s">
        <v>512</v>
      </c>
      <c r="O39" s="2" t="s">
        <v>513</v>
      </c>
      <c r="P39" s="2" t="s">
        <v>514</v>
      </c>
      <c r="Q39" s="2" t="s">
        <v>515</v>
      </c>
      <c r="R39" s="2" t="s">
        <v>516</v>
      </c>
      <c r="S39" s="2" t="s">
        <v>126</v>
      </c>
      <c r="T39" s="2"/>
      <c r="U39" s="2" t="s">
        <v>503</v>
      </c>
    </row>
    <row r="40" customFormat="false" ht="23.85" hidden="false" customHeight="false" outlineLevel="0" collapsed="false">
      <c r="A40" s="2" t="n">
        <v>39</v>
      </c>
      <c r="B40" s="6" t="s">
        <v>489</v>
      </c>
      <c r="C40" s="2" t="s">
        <v>517</v>
      </c>
      <c r="D40" s="2" t="s">
        <v>23</v>
      </c>
      <c r="E40" s="2" t="s">
        <v>518</v>
      </c>
      <c r="F40" s="2" t="s">
        <v>492</v>
      </c>
      <c r="G40" s="2" t="s">
        <v>519</v>
      </c>
      <c r="H40" s="2" t="s">
        <v>520</v>
      </c>
      <c r="I40" s="2" t="n">
        <v>4</v>
      </c>
      <c r="J40" s="2" t="s">
        <v>521</v>
      </c>
      <c r="K40" s="2" t="s">
        <v>522</v>
      </c>
      <c r="L40" s="2" t="s">
        <v>523</v>
      </c>
      <c r="M40" s="2" t="s">
        <v>524</v>
      </c>
      <c r="N40" s="2" t="s">
        <v>243</v>
      </c>
      <c r="O40" s="2" t="s">
        <v>525</v>
      </c>
      <c r="P40" s="2" t="s">
        <v>526</v>
      </c>
      <c r="Q40" s="2" t="s">
        <v>527</v>
      </c>
      <c r="R40" s="2" t="s">
        <v>528</v>
      </c>
      <c r="S40" s="2" t="s">
        <v>37</v>
      </c>
      <c r="T40" s="2" t="s">
        <v>529</v>
      </c>
      <c r="U40" s="2" t="s">
        <v>503</v>
      </c>
    </row>
    <row r="41" customFormat="false" ht="23.85" hidden="false" customHeight="false" outlineLevel="0" collapsed="false">
      <c r="A41" s="2" t="n">
        <v>40</v>
      </c>
      <c r="B41" s="6" t="s">
        <v>489</v>
      </c>
      <c r="C41" s="2" t="s">
        <v>530</v>
      </c>
      <c r="D41" s="2" t="s">
        <v>23</v>
      </c>
      <c r="E41" s="2" t="s">
        <v>531</v>
      </c>
      <c r="F41" s="2" t="s">
        <v>492</v>
      </c>
      <c r="G41" s="2" t="s">
        <v>532</v>
      </c>
      <c r="H41" s="2" t="s">
        <v>533</v>
      </c>
      <c r="I41" s="2" t="n">
        <v>5</v>
      </c>
      <c r="J41" s="2" t="s">
        <v>534</v>
      </c>
      <c r="K41" s="2" t="s">
        <v>535</v>
      </c>
      <c r="L41" s="2" t="s">
        <v>536</v>
      </c>
      <c r="M41" s="2" t="s">
        <v>537</v>
      </c>
      <c r="N41" s="2" t="s">
        <v>538</v>
      </c>
      <c r="O41" s="2" t="s">
        <v>539</v>
      </c>
      <c r="P41" s="2" t="s">
        <v>540</v>
      </c>
      <c r="Q41" s="2" t="s">
        <v>541</v>
      </c>
      <c r="R41" s="2" t="s">
        <v>542</v>
      </c>
      <c r="S41" s="2" t="s">
        <v>37</v>
      </c>
      <c r="T41" s="2" t="s">
        <v>379</v>
      </c>
      <c r="U41" s="2" t="s">
        <v>503</v>
      </c>
    </row>
    <row r="42" customFormat="false" ht="23.85" hidden="false" customHeight="false" outlineLevel="0" collapsed="false">
      <c r="A42" s="2" t="n">
        <v>41</v>
      </c>
      <c r="B42" s="6" t="s">
        <v>489</v>
      </c>
      <c r="C42" s="2" t="s">
        <v>543</v>
      </c>
      <c r="D42" s="2" t="s">
        <v>23</v>
      </c>
      <c r="E42" s="2" t="s">
        <v>531</v>
      </c>
      <c r="F42" s="2" t="s">
        <v>492</v>
      </c>
      <c r="G42" s="2" t="s">
        <v>544</v>
      </c>
      <c r="H42" s="2" t="s">
        <v>545</v>
      </c>
      <c r="I42" s="2" t="n">
        <v>4</v>
      </c>
      <c r="J42" s="2" t="s">
        <v>546</v>
      </c>
      <c r="K42" s="2" t="s">
        <v>547</v>
      </c>
      <c r="L42" s="2" t="s">
        <v>548</v>
      </c>
      <c r="M42" s="2" t="s">
        <v>549</v>
      </c>
      <c r="N42" s="2" t="s">
        <v>243</v>
      </c>
      <c r="O42" s="2" t="s">
        <v>550</v>
      </c>
      <c r="P42" s="2" t="s">
        <v>551</v>
      </c>
      <c r="Q42" s="2" t="s">
        <v>552</v>
      </c>
      <c r="R42" s="2" t="s">
        <v>553</v>
      </c>
      <c r="S42" s="2" t="s">
        <v>37</v>
      </c>
      <c r="T42" s="2" t="s">
        <v>379</v>
      </c>
      <c r="U42" s="2" t="s">
        <v>503</v>
      </c>
    </row>
    <row r="43" customFormat="false" ht="23.85" hidden="false" customHeight="false" outlineLevel="0" collapsed="false">
      <c r="A43" s="2" t="n">
        <v>42</v>
      </c>
      <c r="B43" s="6" t="s">
        <v>489</v>
      </c>
      <c r="C43" s="2" t="s">
        <v>554</v>
      </c>
      <c r="D43" s="2" t="s">
        <v>23</v>
      </c>
      <c r="E43" s="2" t="s">
        <v>531</v>
      </c>
      <c r="F43" s="2" t="s">
        <v>492</v>
      </c>
      <c r="G43" s="2" t="s">
        <v>555</v>
      </c>
      <c r="H43" s="2" t="s">
        <v>556</v>
      </c>
      <c r="I43" s="2" t="n">
        <v>4</v>
      </c>
      <c r="J43" s="2" t="s">
        <v>557</v>
      </c>
      <c r="K43" s="2" t="s">
        <v>558</v>
      </c>
      <c r="L43" s="2" t="s">
        <v>559</v>
      </c>
      <c r="M43" s="2" t="s">
        <v>560</v>
      </c>
      <c r="N43" s="2" t="s">
        <v>243</v>
      </c>
      <c r="O43" s="2" t="s">
        <v>561</v>
      </c>
      <c r="P43" s="2" t="s">
        <v>562</v>
      </c>
      <c r="Q43" s="2" t="s">
        <v>563</v>
      </c>
      <c r="R43" s="2" t="s">
        <v>564</v>
      </c>
      <c r="S43" s="2" t="s">
        <v>68</v>
      </c>
      <c r="T43" s="2" t="s">
        <v>379</v>
      </c>
      <c r="U43" s="2" t="s">
        <v>503</v>
      </c>
    </row>
    <row r="44" customFormat="false" ht="35.05" hidden="false" customHeight="false" outlineLevel="0" collapsed="false">
      <c r="A44" s="2" t="n">
        <v>43</v>
      </c>
      <c r="B44" s="6" t="s">
        <v>489</v>
      </c>
      <c r="C44" s="2" t="s">
        <v>565</v>
      </c>
      <c r="D44" s="2" t="s">
        <v>566</v>
      </c>
      <c r="E44" s="2" t="s">
        <v>567</v>
      </c>
      <c r="F44" s="2" t="s">
        <v>568</v>
      </c>
      <c r="G44" s="2" t="s">
        <v>569</v>
      </c>
      <c r="H44" s="2" t="s">
        <v>570</v>
      </c>
      <c r="I44" s="2" t="n">
        <v>4</v>
      </c>
      <c r="J44" s="2" t="s">
        <v>571</v>
      </c>
      <c r="K44" s="2" t="s">
        <v>572</v>
      </c>
      <c r="L44" s="2" t="s">
        <v>573</v>
      </c>
      <c r="M44" s="2" t="s">
        <v>574</v>
      </c>
      <c r="N44" s="2" t="s">
        <v>63</v>
      </c>
      <c r="O44" s="2" t="s">
        <v>575</v>
      </c>
      <c r="P44" s="2" t="s">
        <v>576</v>
      </c>
      <c r="Q44" s="2" t="s">
        <v>577</v>
      </c>
      <c r="R44" s="2" t="s">
        <v>578</v>
      </c>
      <c r="S44" s="2" t="s">
        <v>37</v>
      </c>
      <c r="T44" s="2" t="s">
        <v>579</v>
      </c>
      <c r="U44" s="2" t="s">
        <v>503</v>
      </c>
    </row>
    <row r="45" customFormat="false" ht="23.85" hidden="false" customHeight="false" outlineLevel="0" collapsed="false">
      <c r="A45" s="2" t="n">
        <v>44</v>
      </c>
      <c r="B45" s="6" t="s">
        <v>489</v>
      </c>
      <c r="C45" s="2" t="s">
        <v>580</v>
      </c>
      <c r="D45" s="2" t="s">
        <v>156</v>
      </c>
      <c r="E45" s="2" t="s">
        <v>581</v>
      </c>
      <c r="F45" s="2" t="s">
        <v>492</v>
      </c>
      <c r="G45" s="2" t="s">
        <v>582</v>
      </c>
      <c r="H45" s="2" t="s">
        <v>583</v>
      </c>
      <c r="I45" s="2" t="n">
        <v>4</v>
      </c>
      <c r="J45" s="2" t="s">
        <v>584</v>
      </c>
      <c r="K45" s="2" t="s">
        <v>585</v>
      </c>
      <c r="L45" s="2" t="s">
        <v>586</v>
      </c>
      <c r="M45" s="2" t="s">
        <v>587</v>
      </c>
      <c r="N45" s="2" t="s">
        <v>243</v>
      </c>
      <c r="O45" s="2" t="s">
        <v>588</v>
      </c>
      <c r="P45" s="2" t="s">
        <v>589</v>
      </c>
      <c r="Q45" s="2" t="s">
        <v>590</v>
      </c>
      <c r="R45" s="2" t="s">
        <v>591</v>
      </c>
      <c r="S45" s="2" t="s">
        <v>68</v>
      </c>
      <c r="T45" s="2" t="s">
        <v>592</v>
      </c>
      <c r="U45" s="2" t="s">
        <v>503</v>
      </c>
    </row>
    <row r="46" customFormat="false" ht="23.85" hidden="false" customHeight="false" outlineLevel="0" collapsed="false">
      <c r="A46" s="2" t="n">
        <v>45</v>
      </c>
      <c r="B46" s="7" t="s">
        <v>593</v>
      </c>
      <c r="C46" s="2" t="s">
        <v>594</v>
      </c>
      <c r="D46" s="2" t="s">
        <v>23</v>
      </c>
      <c r="E46" s="2" t="s">
        <v>595</v>
      </c>
      <c r="F46" s="2" t="s">
        <v>596</v>
      </c>
      <c r="G46" s="2" t="s">
        <v>597</v>
      </c>
      <c r="H46" s="2" t="s">
        <v>598</v>
      </c>
      <c r="I46" s="2" t="n">
        <v>2</v>
      </c>
      <c r="J46" s="2" t="s">
        <v>599</v>
      </c>
      <c r="K46" s="2" t="s">
        <v>600</v>
      </c>
      <c r="L46" s="2" t="s">
        <v>601</v>
      </c>
      <c r="M46" s="2" t="s">
        <v>602</v>
      </c>
      <c r="N46" s="2" t="s">
        <v>603</v>
      </c>
      <c r="O46" s="2" t="s">
        <v>604</v>
      </c>
      <c r="P46" s="2" t="s">
        <v>605</v>
      </c>
      <c r="Q46" s="2" t="s">
        <v>606</v>
      </c>
      <c r="R46" s="2" t="s">
        <v>607</v>
      </c>
      <c r="S46" s="2" t="s">
        <v>37</v>
      </c>
      <c r="T46" s="2" t="s">
        <v>608</v>
      </c>
      <c r="U46" s="2" t="s">
        <v>609</v>
      </c>
    </row>
    <row r="47" customFormat="false" ht="35.05" hidden="false" customHeight="false" outlineLevel="0" collapsed="false">
      <c r="A47" s="2" t="n">
        <v>46</v>
      </c>
      <c r="B47" s="7" t="s">
        <v>593</v>
      </c>
      <c r="C47" s="2" t="s">
        <v>610</v>
      </c>
      <c r="D47" s="2" t="s">
        <v>23</v>
      </c>
      <c r="E47" s="2" t="s">
        <v>611</v>
      </c>
      <c r="F47" s="2" t="s">
        <v>612</v>
      </c>
      <c r="G47" s="2" t="s">
        <v>613</v>
      </c>
      <c r="H47" s="2" t="s">
        <v>614</v>
      </c>
      <c r="I47" s="2" t="n">
        <v>3</v>
      </c>
      <c r="J47" s="2" t="s">
        <v>615</v>
      </c>
      <c r="K47" s="2" t="s">
        <v>616</v>
      </c>
      <c r="L47" s="2" t="s">
        <v>617</v>
      </c>
      <c r="M47" s="2" t="s">
        <v>618</v>
      </c>
      <c r="N47" s="2" t="s">
        <v>451</v>
      </c>
      <c r="O47" s="2" t="s">
        <v>619</v>
      </c>
      <c r="P47" s="2" t="s">
        <v>620</v>
      </c>
      <c r="Q47" s="2" t="s">
        <v>621</v>
      </c>
      <c r="R47" s="2" t="s">
        <v>622</v>
      </c>
      <c r="S47" s="2" t="s">
        <v>37</v>
      </c>
      <c r="T47" s="2" t="s">
        <v>623</v>
      </c>
      <c r="U47" s="2" t="s">
        <v>609</v>
      </c>
    </row>
    <row r="48" customFormat="false" ht="23.85" hidden="false" customHeight="false" outlineLevel="0" collapsed="false">
      <c r="A48" s="2" t="n">
        <v>47</v>
      </c>
      <c r="B48" s="7" t="s">
        <v>593</v>
      </c>
      <c r="C48" s="2" t="s">
        <v>624</v>
      </c>
      <c r="D48" s="2" t="s">
        <v>23</v>
      </c>
      <c r="E48" s="2" t="s">
        <v>443</v>
      </c>
      <c r="F48" s="2" t="s">
        <v>625</v>
      </c>
      <c r="G48" s="2" t="s">
        <v>626</v>
      </c>
      <c r="H48" s="2" t="s">
        <v>627</v>
      </c>
      <c r="I48" s="2" t="n">
        <v>2</v>
      </c>
      <c r="J48" s="2" t="s">
        <v>628</v>
      </c>
      <c r="K48" s="2" t="s">
        <v>629</v>
      </c>
      <c r="L48" s="2" t="s">
        <v>630</v>
      </c>
      <c r="M48" s="2" t="s">
        <v>631</v>
      </c>
      <c r="N48" s="2" t="s">
        <v>99</v>
      </c>
      <c r="O48" s="2" t="s">
        <v>632</v>
      </c>
      <c r="P48" s="2" t="s">
        <v>633</v>
      </c>
      <c r="Q48" s="2" t="s">
        <v>634</v>
      </c>
      <c r="R48" s="2" t="s">
        <v>635</v>
      </c>
      <c r="S48" s="2" t="s">
        <v>37</v>
      </c>
      <c r="T48" s="2"/>
      <c r="U48" s="2" t="s">
        <v>609</v>
      </c>
    </row>
    <row r="49" customFormat="false" ht="23.85" hidden="false" customHeight="false" outlineLevel="0" collapsed="false">
      <c r="A49" s="2" t="n">
        <v>48</v>
      </c>
      <c r="B49" s="7" t="s">
        <v>593</v>
      </c>
      <c r="C49" s="2" t="s">
        <v>636</v>
      </c>
      <c r="D49" s="2" t="s">
        <v>23</v>
      </c>
      <c r="E49" s="2" t="s">
        <v>443</v>
      </c>
      <c r="F49" s="2" t="s">
        <v>637</v>
      </c>
      <c r="G49" s="2" t="s">
        <v>638</v>
      </c>
      <c r="H49" s="2" t="s">
        <v>639</v>
      </c>
      <c r="I49" s="2" t="n">
        <v>3</v>
      </c>
      <c r="J49" s="2" t="s">
        <v>640</v>
      </c>
      <c r="K49" s="2" t="s">
        <v>641</v>
      </c>
      <c r="L49" s="2" t="s">
        <v>423</v>
      </c>
      <c r="M49" s="2" t="s">
        <v>359</v>
      </c>
      <c r="N49" s="2" t="s">
        <v>164</v>
      </c>
      <c r="O49" s="2" t="s">
        <v>642</v>
      </c>
      <c r="P49" s="2" t="s">
        <v>643</v>
      </c>
      <c r="Q49" s="2" t="s">
        <v>644</v>
      </c>
      <c r="R49" s="2" t="s">
        <v>645</v>
      </c>
      <c r="S49" s="2" t="s">
        <v>126</v>
      </c>
      <c r="T49" s="2"/>
      <c r="U49" s="2" t="s">
        <v>295</v>
      </c>
    </row>
    <row r="50" customFormat="false" ht="23.85" hidden="false" customHeight="false" outlineLevel="0" collapsed="false">
      <c r="A50" s="2" t="n">
        <v>49</v>
      </c>
      <c r="B50" s="7" t="s">
        <v>593</v>
      </c>
      <c r="C50" s="2" t="s">
        <v>646</v>
      </c>
      <c r="D50" s="2" t="s">
        <v>23</v>
      </c>
      <c r="E50" s="2" t="s">
        <v>55</v>
      </c>
      <c r="F50" s="2" t="s">
        <v>647</v>
      </c>
      <c r="G50" s="2" t="s">
        <v>648</v>
      </c>
      <c r="H50" s="2" t="s">
        <v>649</v>
      </c>
      <c r="I50" s="2" t="n">
        <v>4</v>
      </c>
      <c r="J50" s="2" t="s">
        <v>650</v>
      </c>
      <c r="K50" s="2" t="s">
        <v>651</v>
      </c>
      <c r="L50" s="2" t="s">
        <v>652</v>
      </c>
      <c r="M50" s="2" t="s">
        <v>653</v>
      </c>
      <c r="N50" s="2" t="s">
        <v>49</v>
      </c>
      <c r="O50" s="2" t="s">
        <v>654</v>
      </c>
      <c r="P50" s="2" t="s">
        <v>655</v>
      </c>
      <c r="Q50" s="2" t="s">
        <v>656</v>
      </c>
      <c r="R50" s="2" t="s">
        <v>657</v>
      </c>
      <c r="S50" s="2" t="s">
        <v>126</v>
      </c>
      <c r="T50" s="2"/>
      <c r="U50" s="2" t="s">
        <v>295</v>
      </c>
    </row>
    <row r="51" customFormat="false" ht="23.85" hidden="false" customHeight="false" outlineLevel="0" collapsed="false">
      <c r="A51" s="2" t="n">
        <v>50</v>
      </c>
      <c r="B51" s="7" t="s">
        <v>593</v>
      </c>
      <c r="C51" s="2" t="s">
        <v>658</v>
      </c>
      <c r="D51" s="2" t="s">
        <v>23</v>
      </c>
      <c r="E51" s="2" t="s">
        <v>55</v>
      </c>
      <c r="F51" s="2" t="s">
        <v>659</v>
      </c>
      <c r="G51" s="2" t="s">
        <v>660</v>
      </c>
      <c r="H51" s="2" t="s">
        <v>661</v>
      </c>
      <c r="I51" s="2" t="n">
        <v>3</v>
      </c>
      <c r="J51" s="2" t="s">
        <v>662</v>
      </c>
      <c r="K51" s="2" t="s">
        <v>663</v>
      </c>
      <c r="L51" s="2" t="s">
        <v>664</v>
      </c>
      <c r="M51" s="2" t="s">
        <v>665</v>
      </c>
      <c r="N51" s="2" t="s">
        <v>666</v>
      </c>
      <c r="O51" s="2" t="s">
        <v>667</v>
      </c>
      <c r="P51" s="2" t="s">
        <v>668</v>
      </c>
      <c r="Q51" s="2" t="s">
        <v>669</v>
      </c>
      <c r="R51" s="2" t="s">
        <v>670</v>
      </c>
      <c r="S51" s="2" t="s">
        <v>126</v>
      </c>
      <c r="T51" s="2"/>
      <c r="U51" s="2" t="s">
        <v>70</v>
      </c>
    </row>
    <row r="52" customFormat="false" ht="23.85" hidden="false" customHeight="false" outlineLevel="0" collapsed="false">
      <c r="A52" s="2" t="n">
        <v>51</v>
      </c>
      <c r="B52" s="7" t="s">
        <v>593</v>
      </c>
      <c r="C52" s="2" t="s">
        <v>671</v>
      </c>
      <c r="D52" s="2" t="s">
        <v>23</v>
      </c>
      <c r="E52" s="2" t="s">
        <v>104</v>
      </c>
      <c r="F52" s="2" t="s">
        <v>672</v>
      </c>
      <c r="G52" s="2" t="s">
        <v>673</v>
      </c>
      <c r="H52" s="2" t="s">
        <v>674</v>
      </c>
      <c r="I52" s="2" t="n">
        <v>4</v>
      </c>
      <c r="J52" s="2" t="s">
        <v>675</v>
      </c>
      <c r="K52" s="2" t="s">
        <v>676</v>
      </c>
      <c r="L52" s="2" t="s">
        <v>677</v>
      </c>
      <c r="M52" s="2" t="s">
        <v>678</v>
      </c>
      <c r="N52" s="2" t="s">
        <v>32</v>
      </c>
      <c r="O52" s="2" t="s">
        <v>679</v>
      </c>
      <c r="P52" s="2" t="s">
        <v>680</v>
      </c>
      <c r="Q52" s="2" t="s">
        <v>681</v>
      </c>
      <c r="R52" s="2" t="s">
        <v>682</v>
      </c>
      <c r="S52" s="2" t="s">
        <v>126</v>
      </c>
      <c r="T52" s="2"/>
      <c r="U52" s="2" t="s">
        <v>70</v>
      </c>
    </row>
    <row r="53" customFormat="false" ht="23.85" hidden="false" customHeight="false" outlineLevel="0" collapsed="false">
      <c r="A53" s="2" t="n">
        <v>52</v>
      </c>
      <c r="B53" s="7" t="s">
        <v>593</v>
      </c>
      <c r="C53" s="2" t="s">
        <v>683</v>
      </c>
      <c r="D53" s="2" t="s">
        <v>23</v>
      </c>
      <c r="E53" s="2" t="s">
        <v>92</v>
      </c>
      <c r="F53" s="2" t="s">
        <v>684</v>
      </c>
      <c r="G53" s="2" t="s">
        <v>685</v>
      </c>
      <c r="H53" s="2" t="s">
        <v>686</v>
      </c>
      <c r="I53" s="2" t="n">
        <v>4</v>
      </c>
      <c r="J53" s="2" t="s">
        <v>687</v>
      </c>
      <c r="K53" s="2" t="s">
        <v>133</v>
      </c>
      <c r="L53" s="2" t="s">
        <v>358</v>
      </c>
      <c r="M53" s="2" t="s">
        <v>688</v>
      </c>
      <c r="N53" s="2" t="s">
        <v>399</v>
      </c>
      <c r="O53" s="2" t="s">
        <v>689</v>
      </c>
      <c r="P53" s="2" t="s">
        <v>690</v>
      </c>
      <c r="Q53" s="2" t="s">
        <v>691</v>
      </c>
      <c r="R53" s="2" t="s">
        <v>692</v>
      </c>
      <c r="S53" s="2" t="s">
        <v>126</v>
      </c>
      <c r="T53" s="2"/>
      <c r="U53" s="2" t="s">
        <v>70</v>
      </c>
    </row>
    <row r="54" customFormat="false" ht="23.85" hidden="false" customHeight="false" outlineLevel="0" collapsed="false">
      <c r="A54" s="2" t="n">
        <v>53</v>
      </c>
      <c r="B54" s="7" t="s">
        <v>593</v>
      </c>
      <c r="C54" s="2" t="s">
        <v>693</v>
      </c>
      <c r="D54" s="2" t="s">
        <v>23</v>
      </c>
      <c r="E54" s="2" t="s">
        <v>694</v>
      </c>
      <c r="F54" s="2" t="s">
        <v>695</v>
      </c>
      <c r="G54" s="2" t="s">
        <v>696</v>
      </c>
      <c r="H54" s="2" t="s">
        <v>697</v>
      </c>
      <c r="I54" s="2" t="n">
        <v>2</v>
      </c>
      <c r="J54" s="2" t="s">
        <v>698</v>
      </c>
      <c r="K54" s="2" t="s">
        <v>699</v>
      </c>
      <c r="L54" s="2" t="s">
        <v>700</v>
      </c>
      <c r="M54" s="2" t="s">
        <v>701</v>
      </c>
      <c r="N54" s="2" t="s">
        <v>164</v>
      </c>
      <c r="O54" s="2" t="s">
        <v>702</v>
      </c>
      <c r="P54" s="2" t="s">
        <v>703</v>
      </c>
      <c r="Q54" s="2" t="s">
        <v>704</v>
      </c>
      <c r="R54" s="2" t="s">
        <v>705</v>
      </c>
      <c r="S54" s="2" t="s">
        <v>126</v>
      </c>
      <c r="T54" s="2"/>
      <c r="U54" s="2" t="s">
        <v>70</v>
      </c>
    </row>
    <row r="55" customFormat="false" ht="23.85" hidden="false" customHeight="false" outlineLevel="0" collapsed="false">
      <c r="A55" s="2" t="n">
        <v>54</v>
      </c>
      <c r="B55" s="7" t="s">
        <v>593</v>
      </c>
      <c r="C55" s="2" t="s">
        <v>706</v>
      </c>
      <c r="D55" s="2" t="s">
        <v>312</v>
      </c>
      <c r="E55" s="2" t="s">
        <v>611</v>
      </c>
      <c r="F55" s="2" t="s">
        <v>707</v>
      </c>
      <c r="G55" s="2" t="s">
        <v>708</v>
      </c>
      <c r="H55" s="2" t="s">
        <v>709</v>
      </c>
      <c r="I55" s="2" t="n">
        <v>3</v>
      </c>
      <c r="J55" s="2" t="s">
        <v>710</v>
      </c>
      <c r="K55" s="2" t="s">
        <v>711</v>
      </c>
      <c r="L55" s="2" t="s">
        <v>712</v>
      </c>
      <c r="M55" s="2" t="s">
        <v>713</v>
      </c>
      <c r="N55" s="2" t="s">
        <v>374</v>
      </c>
      <c r="O55" s="2" t="s">
        <v>714</v>
      </c>
      <c r="P55" s="2" t="s">
        <v>715</v>
      </c>
      <c r="Q55" s="2" t="s">
        <v>716</v>
      </c>
      <c r="R55" s="2" t="s">
        <v>717</v>
      </c>
      <c r="S55" s="2" t="s">
        <v>37</v>
      </c>
      <c r="T55" s="2"/>
      <c r="U55" s="2" t="s">
        <v>295</v>
      </c>
    </row>
    <row r="56" customFormat="false" ht="23.85" hidden="false" customHeight="false" outlineLevel="0" collapsed="false">
      <c r="A56" s="2" t="n">
        <v>55</v>
      </c>
      <c r="B56" s="7" t="s">
        <v>593</v>
      </c>
      <c r="C56" s="2" t="s">
        <v>718</v>
      </c>
      <c r="D56" s="2" t="s">
        <v>156</v>
      </c>
      <c r="E56" s="2" t="s">
        <v>595</v>
      </c>
      <c r="F56" s="2" t="s">
        <v>719</v>
      </c>
      <c r="G56" s="2" t="s">
        <v>720</v>
      </c>
      <c r="H56" s="2" t="s">
        <v>721</v>
      </c>
      <c r="I56" s="2" t="n">
        <v>3</v>
      </c>
      <c r="J56" s="2" t="s">
        <v>722</v>
      </c>
      <c r="K56" s="2" t="s">
        <v>385</v>
      </c>
      <c r="L56" s="2" t="s">
        <v>61</v>
      </c>
      <c r="M56" s="2" t="s">
        <v>723</v>
      </c>
      <c r="N56" s="2" t="s">
        <v>724</v>
      </c>
      <c r="O56" s="2" t="s">
        <v>725</v>
      </c>
      <c r="P56" s="2" t="s">
        <v>726</v>
      </c>
      <c r="Q56" s="2" t="s">
        <v>727</v>
      </c>
      <c r="R56" s="2" t="s">
        <v>728</v>
      </c>
      <c r="S56" s="2" t="s">
        <v>37</v>
      </c>
      <c r="T56" s="2"/>
      <c r="U56" s="2" t="s">
        <v>295</v>
      </c>
    </row>
    <row r="57" customFormat="false" ht="23.85" hidden="false" customHeight="false" outlineLevel="0" collapsed="false">
      <c r="A57" s="2" t="n">
        <v>56</v>
      </c>
      <c r="B57" s="7" t="s">
        <v>593</v>
      </c>
      <c r="C57" s="2" t="s">
        <v>729</v>
      </c>
      <c r="D57" s="2" t="s">
        <v>171</v>
      </c>
      <c r="E57" s="2" t="s">
        <v>24</v>
      </c>
      <c r="F57" s="2" t="s">
        <v>730</v>
      </c>
      <c r="G57" s="2" t="s">
        <v>731</v>
      </c>
      <c r="H57" s="2" t="s">
        <v>732</v>
      </c>
      <c r="I57" s="2" t="n">
        <v>3</v>
      </c>
      <c r="J57" s="2" t="s">
        <v>733</v>
      </c>
      <c r="K57" s="2" t="s">
        <v>734</v>
      </c>
      <c r="L57" s="2" t="s">
        <v>735</v>
      </c>
      <c r="M57" s="2" t="s">
        <v>736</v>
      </c>
      <c r="N57" s="2" t="s">
        <v>290</v>
      </c>
      <c r="O57" s="2" t="s">
        <v>737</v>
      </c>
      <c r="P57" s="2" t="s">
        <v>738</v>
      </c>
      <c r="Q57" s="2" t="s">
        <v>739</v>
      </c>
      <c r="R57" s="2" t="s">
        <v>740</v>
      </c>
      <c r="S57" s="2" t="s">
        <v>37</v>
      </c>
      <c r="T57" s="2" t="s">
        <v>741</v>
      </c>
      <c r="U57" s="2" t="s">
        <v>70</v>
      </c>
    </row>
    <row r="58" customFormat="false" ht="15" hidden="false" customHeight="false" outlineLevel="0" collapsed="false">
      <c r="A58" s="0" t="n">
        <v>57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customFormat="false" ht="15" hidden="false" customHeight="false" outlineLevel="0" collapsed="false">
      <c r="A59" s="0" t="n">
        <v>58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customFormat="false" ht="15" hidden="false" customHeight="false" outlineLevel="0" collapsed="false">
      <c r="A60" s="0" t="n">
        <v>59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customFormat="false" ht="15" hidden="false" customHeight="false" outlineLevel="0" collapsed="false">
      <c r="A61" s="0" t="n">
        <v>60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customFormat="false" ht="15" hidden="false" customHeight="false" outlineLevel="0" collapsed="false">
      <c r="A62" s="0" t="n">
        <v>61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customFormat="false" ht="15" hidden="false" customHeight="false" outlineLevel="0" collapsed="false">
      <c r="A63" s="0" t="n">
        <v>62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customFormat="false" ht="15" hidden="false" customHeight="false" outlineLevel="0" collapsed="false">
      <c r="A64" s="0" t="n">
        <v>63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customFormat="false" ht="15" hidden="false" customHeight="false" outlineLevel="0" collapsed="false">
      <c r="A65" s="0" t="n">
        <v>64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customFormat="false" ht="15" hidden="false" customHeight="false" outlineLevel="0" collapsed="false">
      <c r="A66" s="0" t="n">
        <v>65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customFormat="false" ht="15" hidden="false" customHeight="false" outlineLevel="0" collapsed="false">
      <c r="A67" s="0" t="n">
        <v>66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</sheetData>
  <autoFilter ref="A1:U67"/>
  <conditionalFormatting sqref="S2:S67">
    <cfRule type="cellIs" priority="2" operator="equal" aboveAverage="0" equalAverage="0" bottom="0" percent="0" rank="0" text="" dxfId="11">
      <formula>"Low"</formula>
    </cfRule>
  </conditionalFormatting>
  <dataValidations count="3">
    <dataValidation allowBlank="false" errorStyle="stop" operator="between" showDropDown="false" showErrorMessage="false" showInputMessage="false" sqref="S2:S67" type="list">
      <formula1>"High,Medium,Low"</formula1>
      <formula2>0</formula2>
    </dataValidation>
    <dataValidation allowBlank="false" errorStyle="stop" operator="between" showDropDown="false" showErrorMessage="false" showInputMessage="false" sqref="B2:B67" type="list">
      <formula1>"Skits / comedy / 2-3 person,Ads / UGC / product,Yapping / storytelling / talking-head,Streamers &amp; clip edits,Niche / industry"</formula1>
      <formula2>0</formula2>
    </dataValidation>
    <dataValidation allowBlank="false" errorStyle="stop" operator="between" showDropDown="false" showErrorMessage="false" showInputMessage="false" sqref="I2:I67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9" t="s">
        <v>742</v>
      </c>
      <c r="B1" s="9" t="s">
        <v>743</v>
      </c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10" t="s">
        <v>744</v>
      </c>
      <c r="B2" s="11" t="n">
        <v>5</v>
      </c>
      <c r="C2" s="10"/>
      <c r="D2" s="10"/>
      <c r="E2" s="10"/>
      <c r="F2" s="10"/>
      <c r="G2" s="10"/>
      <c r="H2" s="10"/>
      <c r="I2" s="10"/>
      <c r="J2" s="10"/>
      <c r="K2" s="10"/>
    </row>
    <row r="3" customFormat="false" ht="15" hidden="false" customHeight="false" outlineLevel="0" collapsed="false">
      <c r="A3" s="10" t="s">
        <v>745</v>
      </c>
      <c r="B3" s="11" t="n">
        <v>10</v>
      </c>
      <c r="C3" s="10"/>
      <c r="D3" s="10"/>
      <c r="E3" s="10"/>
      <c r="F3" s="10"/>
      <c r="G3" s="10"/>
      <c r="H3" s="10"/>
      <c r="I3" s="10"/>
      <c r="J3" s="10"/>
      <c r="K3" s="10"/>
    </row>
    <row r="4" customFormat="false" ht="15" hidden="false" customHeight="false" outlineLevel="0" collapsed="false">
      <c r="A4" s="10" t="s">
        <v>746</v>
      </c>
      <c r="B4" s="11" t="n">
        <v>5</v>
      </c>
      <c r="C4" s="10"/>
      <c r="D4" s="10"/>
      <c r="E4" s="10"/>
      <c r="F4" s="10"/>
      <c r="G4" s="10"/>
      <c r="H4" s="10"/>
      <c r="I4" s="10"/>
      <c r="J4" s="10"/>
      <c r="K4" s="10"/>
    </row>
    <row r="5" customFormat="false" ht="15" hidden="false" customHeight="false" outlineLevel="0" collapsed="false">
      <c r="A5" s="10" t="s">
        <v>747</v>
      </c>
      <c r="B5" s="11" t="n">
        <v>25</v>
      </c>
      <c r="C5" s="10"/>
      <c r="D5" s="10"/>
      <c r="E5" s="10"/>
      <c r="F5" s="10"/>
      <c r="G5" s="10"/>
      <c r="H5" s="10"/>
      <c r="I5" s="10"/>
      <c r="J5" s="10"/>
      <c r="K5" s="10"/>
    </row>
    <row r="6" customFormat="false" ht="15" hidden="false" customHeight="false" outlineLevel="0" collapsed="false">
      <c r="A6" s="10" t="s">
        <v>748</v>
      </c>
      <c r="B6" s="11" t="n">
        <v>5</v>
      </c>
      <c r="C6" s="10"/>
      <c r="D6" s="10"/>
      <c r="E6" s="10"/>
      <c r="F6" s="10"/>
      <c r="G6" s="10"/>
      <c r="H6" s="10"/>
      <c r="I6" s="10"/>
      <c r="J6" s="10"/>
      <c r="K6" s="10"/>
    </row>
    <row r="7" customFormat="false" ht="15" hidden="false" customHeight="false" outlineLevel="0" collapsed="false">
      <c r="A7" s="10" t="s">
        <v>749</v>
      </c>
      <c r="B7" s="11" t="n">
        <v>2000</v>
      </c>
      <c r="C7" s="10"/>
      <c r="D7" s="10"/>
      <c r="E7" s="10"/>
      <c r="F7" s="10"/>
      <c r="G7" s="10"/>
      <c r="H7" s="10"/>
      <c r="I7" s="10"/>
      <c r="J7" s="10"/>
      <c r="K7" s="10"/>
    </row>
    <row r="8" customFormat="false" ht="15" hidden="false" customHeight="false" outlineLevel="0" collapsed="false">
      <c r="A8" s="10" t="s">
        <v>750</v>
      </c>
      <c r="B8" s="11" t="n">
        <v>270</v>
      </c>
      <c r="C8" s="10"/>
      <c r="D8" s="10"/>
      <c r="E8" s="10"/>
      <c r="F8" s="10"/>
      <c r="G8" s="10"/>
      <c r="H8" s="10"/>
      <c r="I8" s="10"/>
      <c r="J8" s="10"/>
      <c r="K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39.55" hidden="false" customHeight="false" outlineLevel="0" collapsed="false">
      <c r="A10" s="9" t="s">
        <v>751</v>
      </c>
      <c r="B10" s="9" t="s">
        <v>752</v>
      </c>
      <c r="C10" s="9" t="s">
        <v>753</v>
      </c>
      <c r="D10" s="9" t="s">
        <v>754</v>
      </c>
      <c r="E10" s="9" t="s">
        <v>755</v>
      </c>
      <c r="F10" s="9" t="s">
        <v>756</v>
      </c>
      <c r="G10" s="9" t="s">
        <v>757</v>
      </c>
      <c r="H10" s="9" t="s">
        <v>758</v>
      </c>
      <c r="I10" s="9" t="s">
        <v>743</v>
      </c>
      <c r="J10" s="9" t="s">
        <v>759</v>
      </c>
      <c r="K10" s="9" t="s">
        <v>760</v>
      </c>
    </row>
    <row r="11" customFormat="false" ht="15" hidden="false" customHeight="false" outlineLevel="0" collapsed="false">
      <c r="A11" s="10" t="s">
        <v>761</v>
      </c>
      <c r="B11" s="10" t="s">
        <v>762</v>
      </c>
      <c r="C11" s="10" t="n">
        <v>3</v>
      </c>
      <c r="D11" s="11" t="n">
        <v>3</v>
      </c>
      <c r="E11" s="11" t="n">
        <v>12</v>
      </c>
      <c r="F11" s="11" t="n">
        <v>0</v>
      </c>
      <c r="G11" s="11" t="n">
        <v>0</v>
      </c>
      <c r="H11" s="11" t="n">
        <v>0</v>
      </c>
      <c r="I11" s="10" t="n">
        <f aca="false">D11*$B$2+E11*$B$3+F11*$B$4+G11*$B$5+H11*$B$6</f>
        <v>135</v>
      </c>
      <c r="J11" s="10" t="n">
        <f aca="false">I11</f>
        <v>135</v>
      </c>
      <c r="K11" s="10" t="n">
        <f aca="false">$B$7-$B$8-J11</f>
        <v>1595</v>
      </c>
    </row>
    <row r="12" customFormat="false" ht="15" hidden="false" customHeight="false" outlineLevel="0" collapsed="false">
      <c r="A12" s="10" t="s">
        <v>763</v>
      </c>
      <c r="B12" s="10" t="s">
        <v>764</v>
      </c>
      <c r="C12" s="10" t="n">
        <v>8</v>
      </c>
      <c r="D12" s="11" t="n">
        <v>7</v>
      </c>
      <c r="E12" s="11" t="n">
        <v>32</v>
      </c>
      <c r="F12" s="11" t="n">
        <v>2</v>
      </c>
      <c r="G12" s="11" t="n">
        <v>0</v>
      </c>
      <c r="H12" s="11" t="n">
        <v>0</v>
      </c>
      <c r="I12" s="10" t="n">
        <f aca="false">D12*$B$2+E12*$B$3+F12*$B$4+G12*$B$5+H12*$B$6</f>
        <v>365</v>
      </c>
      <c r="J12" s="10" t="n">
        <f aca="false">J11+I12</f>
        <v>500</v>
      </c>
      <c r="K12" s="10" t="n">
        <f aca="false">$B$7-$B$8-J12</f>
        <v>1230</v>
      </c>
    </row>
    <row r="13" customFormat="false" ht="15" hidden="false" customHeight="false" outlineLevel="0" collapsed="false">
      <c r="A13" s="10" t="s">
        <v>765</v>
      </c>
      <c r="B13" s="10" t="s">
        <v>489</v>
      </c>
      <c r="C13" s="10" t="n">
        <v>8</v>
      </c>
      <c r="D13" s="11" t="n">
        <v>0</v>
      </c>
      <c r="E13" s="11" t="n">
        <v>32</v>
      </c>
      <c r="F13" s="11" t="n">
        <v>0</v>
      </c>
      <c r="G13" s="11" t="n">
        <v>0</v>
      </c>
      <c r="H13" s="11" t="n">
        <v>6</v>
      </c>
      <c r="I13" s="10" t="n">
        <f aca="false">D13*$B$2+E13*$B$3+F13*$B$4+G13*$B$5+H13*$B$6</f>
        <v>350</v>
      </c>
      <c r="J13" s="10" t="n">
        <f aca="false">J12+I13</f>
        <v>850</v>
      </c>
      <c r="K13" s="10" t="n">
        <f aca="false">$B$7-$B$8-J13</f>
        <v>880</v>
      </c>
    </row>
    <row r="14" customFormat="false" ht="15" hidden="false" customHeight="false" outlineLevel="0" collapsed="false">
      <c r="A14" s="10" t="s">
        <v>766</v>
      </c>
      <c r="B14" s="10" t="s">
        <v>767</v>
      </c>
      <c r="C14" s="10" t="n">
        <v>10</v>
      </c>
      <c r="D14" s="11" t="n">
        <v>8</v>
      </c>
      <c r="E14" s="11" t="n">
        <v>36</v>
      </c>
      <c r="F14" s="11" t="n">
        <v>0</v>
      </c>
      <c r="G14" s="11" t="n">
        <v>2</v>
      </c>
      <c r="H14" s="11" t="n">
        <v>0</v>
      </c>
      <c r="I14" s="10" t="n">
        <f aca="false">D14*$B$2+E14*$B$3+F14*$B$4+G14*$B$5+H14*$B$6</f>
        <v>450</v>
      </c>
      <c r="J14" s="10" t="n">
        <f aca="false">J13+I14</f>
        <v>1300</v>
      </c>
      <c r="K14" s="10" t="n">
        <f aca="false">$B$7-$B$8-J14</f>
        <v>430</v>
      </c>
    </row>
    <row r="15" customFormat="false" ht="15" hidden="false" customHeight="false" outlineLevel="0" collapsed="false">
      <c r="A15" s="10" t="s">
        <v>768</v>
      </c>
      <c r="B15" s="10" t="s">
        <v>769</v>
      </c>
      <c r="C15" s="10" t="n">
        <v>3</v>
      </c>
      <c r="D15" s="11" t="n">
        <v>3</v>
      </c>
      <c r="E15" s="11" t="n">
        <v>12</v>
      </c>
      <c r="F15" s="11" t="n">
        <v>0</v>
      </c>
      <c r="G15" s="11" t="n">
        <v>0</v>
      </c>
      <c r="H15" s="11" t="n">
        <v>0</v>
      </c>
      <c r="I15" s="10" t="n">
        <f aca="false">D15*$B$2+E15*$B$3+F15*$B$4+G15*$B$5+H15*$B$6</f>
        <v>135</v>
      </c>
      <c r="J15" s="10" t="n">
        <f aca="false">J14+I15</f>
        <v>1435</v>
      </c>
      <c r="K15" s="10" t="n">
        <f aca="false">$B$7-$B$8-J15</f>
        <v>295</v>
      </c>
    </row>
    <row r="16" customFormat="false" ht="23.85" hidden="false" customHeight="false" outlineLevel="0" collapsed="false">
      <c r="A16" s="10" t="s">
        <v>770</v>
      </c>
      <c r="B16" s="10" t="s">
        <v>771</v>
      </c>
      <c r="C16" s="10" t="n">
        <v>6</v>
      </c>
      <c r="D16" s="11" t="n">
        <v>5</v>
      </c>
      <c r="E16" s="11" t="n">
        <v>22</v>
      </c>
      <c r="F16" s="11" t="n">
        <v>1</v>
      </c>
      <c r="G16" s="11" t="n">
        <v>0</v>
      </c>
      <c r="H16" s="11" t="n">
        <v>1</v>
      </c>
      <c r="I16" s="10" t="n">
        <f aca="false">D16*$B$2+E16*$B$3+F16*$B$4+G16*$B$5+H16*$B$6</f>
        <v>255</v>
      </c>
      <c r="J16" s="10" t="n">
        <f aca="false">J15+I16</f>
        <v>1690</v>
      </c>
      <c r="K16" s="10" t="n">
        <f aca="false">$B$7-$B$8-J16</f>
        <v>40</v>
      </c>
    </row>
    <row r="17" customFormat="false" ht="15" hidden="false" customHeight="false" outlineLevel="0" collapsed="false">
      <c r="A17" s="10" t="s">
        <v>772</v>
      </c>
      <c r="B17" s="10" t="s">
        <v>773</v>
      </c>
      <c r="C17" s="10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8</v>
      </c>
      <c r="I17" s="10" t="n">
        <f aca="false">D17*$B$2+E17*$B$3+F17*$B$4+G17*$B$5+H17*$B$6</f>
        <v>40</v>
      </c>
      <c r="J17" s="10" t="n">
        <f aca="false">J16+I17</f>
        <v>1730</v>
      </c>
      <c r="K17" s="10" t="n">
        <f aca="false">$B$7-$B$8-J17</f>
        <v>0</v>
      </c>
    </row>
    <row r="18" customFormat="false" ht="15" hidden="false" customHeight="false" outlineLevel="0" collapsed="false">
      <c r="A18" s="10" t="s">
        <v>774</v>
      </c>
      <c r="B18" s="10"/>
      <c r="C18" s="10" t="n">
        <f aca="false">SUM(C11:C17)</f>
        <v>38</v>
      </c>
      <c r="D18" s="10"/>
      <c r="E18" s="10"/>
      <c r="F18" s="10"/>
      <c r="G18" s="10"/>
      <c r="H18" s="10"/>
      <c r="I18" s="10" t="n">
        <f aca="false">SUM(I11:I17)</f>
        <v>1730</v>
      </c>
      <c r="J18" s="10"/>
      <c r="K18" s="10" t="n">
        <f aca="false">$B$7-$B$8-I18</f>
        <v>0</v>
      </c>
    </row>
    <row r="19" customFormat="false" ht="15" hidden="false" customHeight="false" outlineLevel="0" collapsed="false">
      <c r="A19" s="10" t="s">
        <v>775</v>
      </c>
      <c r="B19" s="10" t="str">
        <f aca="false">IF(I18&lt;=$B$7-$B$8,"OK - buffer of "&amp;$B$8&amp;" preserved","OVER BUDGET")</f>
        <v>OK - buffer of 270 preserved</v>
      </c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46.25" hidden="false" customHeight="false" outlineLevel="0" collapsed="false">
      <c r="A20" s="10" t="s">
        <v>776</v>
      </c>
      <c r="B20" s="10" t="s">
        <v>777</v>
      </c>
      <c r="C20" s="10"/>
      <c r="D20" s="10"/>
      <c r="E20" s="10"/>
      <c r="F20" s="10"/>
      <c r="G20" s="10"/>
      <c r="H20" s="10"/>
      <c r="I20" s="10"/>
      <c r="J20" s="10"/>
      <c r="K2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2" t="s">
        <v>778</v>
      </c>
      <c r="B1" s="12" t="s">
        <v>779</v>
      </c>
      <c r="C1" s="12" t="s">
        <v>780</v>
      </c>
    </row>
    <row r="2" customFormat="false" ht="15" hidden="false" customHeight="false" outlineLevel="0" collapsed="false">
      <c r="A2" s="13" t="s">
        <v>781</v>
      </c>
      <c r="B2" s="13" t="n">
        <f aca="false">COUNTA('Creator DNA'!$C$2:$C$67)</f>
        <v>56</v>
      </c>
      <c r="C2" s="13"/>
    </row>
    <row r="3" customFormat="false" ht="15" hidden="false" customHeight="false" outlineLevel="0" collapsed="false">
      <c r="A3" s="13" t="s">
        <v>782</v>
      </c>
      <c r="B3" s="13" t="n">
        <f aca="false">COUNTIF('Creator DNA'!$D$2:$D$67,"USA")</f>
        <v>41</v>
      </c>
      <c r="C3" s="13"/>
    </row>
    <row r="4" customFormat="false" ht="15" hidden="false" customHeight="false" outlineLevel="0" collapsed="false">
      <c r="A4" s="13" t="s">
        <v>783</v>
      </c>
      <c r="B4" s="14" t="n">
        <f aca="false">IFERROR(B3/B2,0)</f>
        <v>0.732142857142857</v>
      </c>
      <c r="C4" s="15" t="n">
        <v>0.72</v>
      </c>
    </row>
    <row r="5" customFormat="false" ht="15" hidden="false" customHeight="false" outlineLevel="0" collapsed="false">
      <c r="A5" s="13" t="s">
        <v>784</v>
      </c>
      <c r="B5" s="13" t="n">
        <f aca="false">COUNTIFS('Creator DNA'!$B$2:$B$67,"Skits / comedy / 2-3 person",'Creator DNA'!$C$2:$C$67,"&lt;&gt;")</f>
        <v>12</v>
      </c>
      <c r="C5" s="13" t="s">
        <v>785</v>
      </c>
    </row>
    <row r="6" customFormat="false" ht="15" hidden="false" customHeight="false" outlineLevel="0" collapsed="false">
      <c r="A6" s="13" t="s">
        <v>786</v>
      </c>
      <c r="B6" s="13" t="n">
        <f aca="false">COUNTIFS('Creator DNA'!$B$2:$B$67,"Ads / UGC / product",'Creator DNA'!$C$2:$C$67,"&lt;&gt;")</f>
        <v>12</v>
      </c>
      <c r="C6" s="13" t="s">
        <v>785</v>
      </c>
    </row>
    <row r="7" customFormat="false" ht="15" hidden="false" customHeight="false" outlineLevel="0" collapsed="false">
      <c r="A7" s="13" t="s">
        <v>787</v>
      </c>
      <c r="B7" s="13" t="n">
        <f aca="false">COUNTIFS('Creator DNA'!$B$2:$B$67,"Yapping / storytelling / talking-head",'Creator DNA'!$C$2:$C$67,"&lt;&gt;")</f>
        <v>12</v>
      </c>
      <c r="C7" s="13" t="s">
        <v>785</v>
      </c>
    </row>
    <row r="8" customFormat="false" ht="15" hidden="false" customHeight="false" outlineLevel="0" collapsed="false">
      <c r="A8" s="13" t="s">
        <v>788</v>
      </c>
      <c r="B8" s="13" t="n">
        <f aca="false">COUNTIFS('Creator DNA'!$B$2:$B$67,"Streamers &amp; clip edits",'Creator DNA'!$C$2:$C$67,"&lt;&gt;")</f>
        <v>8</v>
      </c>
      <c r="C8" s="13" t="s">
        <v>785</v>
      </c>
    </row>
    <row r="9" customFormat="false" ht="15" hidden="false" customHeight="false" outlineLevel="0" collapsed="false">
      <c r="A9" s="13" t="s">
        <v>789</v>
      </c>
      <c r="B9" s="13" t="n">
        <f aca="false">COUNTIFS('Creator DNA'!$B$2:$B$67,"Niche / industry",'Creator DNA'!$C$2:$C$67,"&lt;&gt;")</f>
        <v>12</v>
      </c>
      <c r="C9" s="13" t="s">
        <v>785</v>
      </c>
    </row>
    <row r="10" customFormat="false" ht="15" hidden="false" customHeight="false" outlineLevel="0" collapsed="false">
      <c r="A10" s="13" t="s">
        <v>790</v>
      </c>
      <c r="B10" s="13" t="n">
        <f aca="false">COUNTIF('Creator DNA'!$D$2:$D$67,"USA")</f>
        <v>41</v>
      </c>
      <c r="C10" s="13" t="s">
        <v>791</v>
      </c>
    </row>
    <row r="11" customFormat="false" ht="15" hidden="false" customHeight="false" outlineLevel="0" collapsed="false">
      <c r="A11" s="13" t="s">
        <v>792</v>
      </c>
      <c r="B11" s="13" t="n">
        <f aca="false">COUNTIF('Creator DNA'!$D$2:$D$67,"UK")</f>
        <v>4</v>
      </c>
      <c r="C11" s="13" t="s">
        <v>791</v>
      </c>
    </row>
    <row r="12" customFormat="false" ht="15" hidden="false" customHeight="false" outlineLevel="0" collapsed="false">
      <c r="A12" s="13" t="s">
        <v>793</v>
      </c>
      <c r="B12" s="13" t="n">
        <f aca="false">COUNTIF('Creator DNA'!$D$2:$D$67,"Nigeria")</f>
        <v>1</v>
      </c>
      <c r="C12" s="13" t="s">
        <v>791</v>
      </c>
    </row>
    <row r="13" customFormat="false" ht="15" hidden="false" customHeight="false" outlineLevel="0" collapsed="false">
      <c r="A13" s="13" t="s">
        <v>794</v>
      </c>
      <c r="B13" s="13" t="n">
        <f aca="false">COUNTIF('Creator DNA'!$D$2:$D$67,"Australia")</f>
        <v>2</v>
      </c>
      <c r="C13" s="13" t="s">
        <v>791</v>
      </c>
    </row>
    <row r="14" customFormat="false" ht="15" hidden="false" customHeight="false" outlineLevel="0" collapsed="false">
      <c r="A14" s="13" t="s">
        <v>795</v>
      </c>
      <c r="B14" s="13" t="n">
        <f aca="false">COUNTIF('Creator DNA'!$D$2:$D$67,"Thailand")</f>
        <v>1</v>
      </c>
      <c r="C14" s="13" t="s">
        <v>791</v>
      </c>
    </row>
    <row r="15" customFormat="false" ht="15" hidden="false" customHeight="false" outlineLevel="0" collapsed="false">
      <c r="A15" s="13" t="s">
        <v>796</v>
      </c>
      <c r="B15" s="13" t="n">
        <f aca="false">COUNTIF('Creator DNA'!$D$2:$D$67,"Vietnam")</f>
        <v>1</v>
      </c>
      <c r="C15" s="13" t="s">
        <v>791</v>
      </c>
    </row>
    <row r="16" customFormat="false" ht="15" hidden="false" customHeight="false" outlineLevel="0" collapsed="false">
      <c r="A16" s="13" t="s">
        <v>797</v>
      </c>
      <c r="B16" s="13" t="n">
        <f aca="false">COUNTIF('Creator DNA'!$D$2:$D$67,"Singapore")</f>
        <v>2</v>
      </c>
      <c r="C16" s="13" t="s">
        <v>791</v>
      </c>
    </row>
    <row r="17" customFormat="false" ht="15" hidden="false" customHeight="false" outlineLevel="0" collapsed="false">
      <c r="A17" s="13" t="s">
        <v>798</v>
      </c>
      <c r="B17" s="13" t="n">
        <f aca="false">COUNTIF('Creator DNA'!$D$2:$D$67,"Malaysia")</f>
        <v>2</v>
      </c>
      <c r="C17" s="13" t="s">
        <v>791</v>
      </c>
    </row>
    <row r="18" customFormat="false" ht="15" hidden="false" customHeight="false" outlineLevel="0" collapsed="false">
      <c r="A18" s="13" t="s">
        <v>799</v>
      </c>
      <c r="B18" s="13" t="n">
        <f aca="false">COUNTIF('Creator DNA'!$D$2:$D$67,"Indonesia")</f>
        <v>1</v>
      </c>
      <c r="C18" s="13" t="s">
        <v>791</v>
      </c>
    </row>
    <row r="19" customFormat="false" ht="15" hidden="false" customHeight="false" outlineLevel="0" collapsed="false">
      <c r="A19" s="13" t="s">
        <v>800</v>
      </c>
      <c r="B19" s="13" t="n">
        <f aca="false">COUNTIF('Creator DNA'!$S$2:$S$67,"Low")</f>
        <v>11</v>
      </c>
      <c r="C1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9" t="s">
        <v>801</v>
      </c>
      <c r="B1" s="9" t="s">
        <v>802</v>
      </c>
    </row>
    <row r="2" customFormat="false" ht="23.85" hidden="false" customHeight="false" outlineLevel="0" collapsed="false">
      <c r="A2" s="10" t="s">
        <v>803</v>
      </c>
      <c r="B2" s="10" t="s">
        <v>804</v>
      </c>
    </row>
    <row r="3" customFormat="false" ht="23.85" hidden="false" customHeight="false" outlineLevel="0" collapsed="false">
      <c r="A3" s="10" t="s">
        <v>805</v>
      </c>
      <c r="B3" s="10" t="s">
        <v>806</v>
      </c>
    </row>
    <row r="4" customFormat="false" ht="15" hidden="false" customHeight="false" outlineLevel="0" collapsed="false">
      <c r="A4" s="10" t="s">
        <v>6</v>
      </c>
      <c r="B4" s="10" t="s">
        <v>807</v>
      </c>
    </row>
    <row r="5" customFormat="false" ht="15" hidden="false" customHeight="false" outlineLevel="0" collapsed="false">
      <c r="A5" s="10" t="s">
        <v>7</v>
      </c>
      <c r="B5" s="10" t="s">
        <v>808</v>
      </c>
    </row>
    <row r="6" customFormat="false" ht="15" hidden="false" customHeight="false" outlineLevel="0" collapsed="false">
      <c r="A6" s="10" t="s">
        <v>8</v>
      </c>
      <c r="B6" s="10" t="s">
        <v>809</v>
      </c>
    </row>
    <row r="7" customFormat="false" ht="15" hidden="false" customHeight="false" outlineLevel="0" collapsed="false">
      <c r="A7" s="10" t="s">
        <v>9</v>
      </c>
      <c r="B7" s="10" t="s">
        <v>810</v>
      </c>
    </row>
    <row r="8" customFormat="false" ht="15" hidden="false" customHeight="false" outlineLevel="0" collapsed="false">
      <c r="A8" s="10" t="s">
        <v>10</v>
      </c>
      <c r="B8" s="10" t="s">
        <v>811</v>
      </c>
    </row>
    <row r="9" customFormat="false" ht="15" hidden="false" customHeight="false" outlineLevel="0" collapsed="false">
      <c r="A9" s="10" t="s">
        <v>11</v>
      </c>
      <c r="B9" s="10" t="s">
        <v>812</v>
      </c>
    </row>
    <row r="10" customFormat="false" ht="15" hidden="false" customHeight="false" outlineLevel="0" collapsed="false">
      <c r="A10" s="10" t="s">
        <v>12</v>
      </c>
      <c r="B10" s="10" t="s">
        <v>813</v>
      </c>
    </row>
    <row r="11" customFormat="false" ht="15" hidden="false" customHeight="false" outlineLevel="0" collapsed="false">
      <c r="A11" s="10" t="s">
        <v>814</v>
      </c>
      <c r="B11" s="10" t="s">
        <v>815</v>
      </c>
    </row>
    <row r="12" customFormat="false" ht="15" hidden="false" customHeight="false" outlineLevel="0" collapsed="false">
      <c r="A12" s="10" t="s">
        <v>15</v>
      </c>
      <c r="B12" s="10" t="s">
        <v>816</v>
      </c>
    </row>
    <row r="13" customFormat="false" ht="15" hidden="false" customHeight="false" outlineLevel="0" collapsed="false">
      <c r="A13" s="10" t="s">
        <v>16</v>
      </c>
      <c r="B13" s="10" t="s">
        <v>817</v>
      </c>
    </row>
    <row r="14" customFormat="false" ht="23.85" hidden="false" customHeight="false" outlineLevel="0" collapsed="false">
      <c r="A14" s="10" t="s">
        <v>17</v>
      </c>
      <c r="B14" s="10" t="s">
        <v>818</v>
      </c>
    </row>
    <row r="15" customFormat="false" ht="15" hidden="false" customHeight="false" outlineLevel="0" collapsed="false">
      <c r="A15" s="10" t="s">
        <v>819</v>
      </c>
      <c r="B15" s="10" t="s">
        <v>820</v>
      </c>
    </row>
    <row r="16" customFormat="false" ht="15" hidden="false" customHeight="false" outlineLevel="0" collapsed="false">
      <c r="A16" s="10" t="s">
        <v>20</v>
      </c>
      <c r="B16" s="10" t="s">
        <v>821</v>
      </c>
    </row>
    <row r="17" customFormat="false" ht="23.85" hidden="false" customHeight="false" outlineLevel="0" collapsed="false">
      <c r="A17" s="10" t="s">
        <v>489</v>
      </c>
      <c r="B17" s="10" t="s">
        <v>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2026-10-10T19:07:33Z</dcterms:created>
  <dc:creator>openpyxl</dc:creator>
  <dc:description/>
  <dc:language>en-US</dc:language>
  <cp:lastModifiedBy/>
  <dcterms:modified xsi:type="dcterms:W3CDTF">2026-10-10T19:07:33Z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